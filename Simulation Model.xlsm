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oorva\Documents\LUMS\MSCI502- Operational Research and Prescriptive Analytics\CourseWork\Simulation Model\"/>
    </mc:Choice>
  </mc:AlternateContent>
  <xr:revisionPtr revIDLastSave="0" documentId="13_ncr:1_{7A9F9012-6CBF-44AB-AA94-2E01C7644348}" xr6:coauthVersionLast="47" xr6:coauthVersionMax="47" xr10:uidLastSave="{00000000-0000-0000-0000-000000000000}"/>
  <bookViews>
    <workbookView xWindow="-98" yWindow="-98" windowWidth="23236" windowHeight="13875" activeTab="3" xr2:uid="{6210E2BF-2EC1-4547-AE72-E49AAAB847B2}"/>
  </bookViews>
  <sheets>
    <sheet name="Stochastic Cutting" sheetId="6" r:id="rId1"/>
    <sheet name="Predictive Modelling" sheetId="3" r:id="rId2"/>
    <sheet name="data" sheetId="1" r:id="rId3"/>
    <sheet name="user" sheetId="2" r:id="rId4"/>
  </sheets>
  <definedNames>
    <definedName name="lower">'Stochastic Cutting'!$F$11</definedName>
    <definedName name="upper">'Stochastic Cutting'!$F$12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6" i="6" l="1"/>
  <c r="AE26" i="6"/>
  <c r="AF26" i="6"/>
  <c r="AG26" i="6"/>
  <c r="AH26" i="6"/>
  <c r="AI26" i="6"/>
  <c r="AC26" i="6"/>
  <c r="AD25" i="6"/>
  <c r="AE25" i="6"/>
  <c r="AF25" i="6"/>
  <c r="AG25" i="6"/>
  <c r="AH25" i="6"/>
  <c r="AI25" i="6"/>
  <c r="AC25" i="6"/>
  <c r="AD24" i="6"/>
  <c r="AE24" i="6"/>
  <c r="AF24" i="6"/>
  <c r="AG24" i="6"/>
  <c r="AH24" i="6"/>
  <c r="AI24" i="6"/>
  <c r="AC24" i="6"/>
  <c r="AD23" i="6"/>
  <c r="AE23" i="6"/>
  <c r="AF23" i="6"/>
  <c r="AG23" i="6"/>
  <c r="AH23" i="6"/>
  <c r="AI23" i="6"/>
  <c r="AC23" i="6"/>
  <c r="AD22" i="6"/>
  <c r="AE22" i="6"/>
  <c r="AF22" i="6"/>
  <c r="AG22" i="6"/>
  <c r="AH22" i="6"/>
  <c r="AI22" i="6"/>
  <c r="AC22" i="6"/>
  <c r="H20" i="6"/>
  <c r="H21" i="6"/>
  <c r="H22" i="6"/>
  <c r="H23" i="6"/>
  <c r="H24" i="6"/>
  <c r="H27" i="6"/>
  <c r="H28" i="6"/>
  <c r="H29" i="6"/>
  <c r="H30" i="6"/>
  <c r="H31" i="6"/>
  <c r="H36" i="6"/>
  <c r="H37" i="6"/>
  <c r="H38" i="6"/>
  <c r="H43" i="6"/>
  <c r="H44" i="6"/>
  <c r="H45" i="6"/>
  <c r="H50" i="6"/>
  <c r="H51" i="6"/>
  <c r="H52" i="6"/>
  <c r="H57" i="6"/>
  <c r="H58" i="6"/>
  <c r="H59" i="6"/>
  <c r="H65" i="6"/>
  <c r="H66" i="6"/>
  <c r="H72" i="6"/>
  <c r="H73" i="6"/>
  <c r="H80" i="6"/>
  <c r="H87" i="6"/>
  <c r="H93" i="6"/>
  <c r="H94" i="6"/>
  <c r="H100" i="6"/>
  <c r="H101" i="6"/>
  <c r="H107" i="6"/>
  <c r="H108" i="6"/>
  <c r="H114" i="6"/>
  <c r="H115" i="6"/>
  <c r="H122" i="6"/>
  <c r="H129" i="6"/>
  <c r="H135" i="6"/>
  <c r="H136" i="6"/>
  <c r="H142" i="6"/>
  <c r="H143" i="6"/>
  <c r="H150" i="6"/>
  <c r="H157" i="6"/>
  <c r="H163" i="6"/>
  <c r="H164" i="6"/>
  <c r="H170" i="6"/>
  <c r="H171" i="6"/>
  <c r="H177" i="6"/>
  <c r="H178" i="6"/>
  <c r="H184" i="6"/>
  <c r="H185" i="6"/>
  <c r="H191" i="6"/>
  <c r="H192" i="6"/>
  <c r="H198" i="6"/>
  <c r="H199" i="6"/>
  <c r="H206" i="6"/>
  <c r="H213" i="6"/>
  <c r="H19" i="6"/>
  <c r="U3" i="3"/>
  <c r="AZ213" i="6"/>
  <c r="AY213" i="6"/>
  <c r="AX213" i="6"/>
  <c r="AW213" i="6"/>
  <c r="AV213" i="6"/>
  <c r="AU213" i="6"/>
  <c r="AT213" i="6"/>
  <c r="F213" i="6"/>
  <c r="AZ212" i="6"/>
  <c r="AY212" i="6"/>
  <c r="AX212" i="6"/>
  <c r="AW212" i="6"/>
  <c r="AV212" i="6"/>
  <c r="AU212" i="6"/>
  <c r="AT212" i="6"/>
  <c r="M212" i="6"/>
  <c r="F212" i="6"/>
  <c r="AZ211" i="6"/>
  <c r="AY211" i="6"/>
  <c r="AX211" i="6"/>
  <c r="AW211" i="6"/>
  <c r="AV211" i="6"/>
  <c r="AU211" i="6"/>
  <c r="AT211" i="6"/>
  <c r="M211" i="6"/>
  <c r="F211" i="6"/>
  <c r="AZ210" i="6"/>
  <c r="AY210" i="6"/>
  <c r="AX210" i="6"/>
  <c r="AW210" i="6"/>
  <c r="AV210" i="6"/>
  <c r="AU210" i="6"/>
  <c r="AT210" i="6"/>
  <c r="M210" i="6"/>
  <c r="F210" i="6"/>
  <c r="AZ209" i="6"/>
  <c r="AY209" i="6"/>
  <c r="AX209" i="6"/>
  <c r="AW209" i="6"/>
  <c r="AV209" i="6"/>
  <c r="AU209" i="6"/>
  <c r="AT209" i="6"/>
  <c r="M209" i="6"/>
  <c r="F209" i="6"/>
  <c r="AZ208" i="6"/>
  <c r="AY208" i="6"/>
  <c r="AX208" i="6"/>
  <c r="AW208" i="6"/>
  <c r="AV208" i="6"/>
  <c r="AU208" i="6"/>
  <c r="AT208" i="6"/>
  <c r="M208" i="6"/>
  <c r="F208" i="6"/>
  <c r="AZ207" i="6"/>
  <c r="AY207" i="6"/>
  <c r="AX207" i="6"/>
  <c r="AW207" i="6"/>
  <c r="AV207" i="6"/>
  <c r="AU207" i="6"/>
  <c r="AT207" i="6"/>
  <c r="M207" i="6"/>
  <c r="F207" i="6"/>
  <c r="AZ206" i="6"/>
  <c r="AY206" i="6"/>
  <c r="AX206" i="6"/>
  <c r="AW206" i="6"/>
  <c r="AV206" i="6"/>
  <c r="AU206" i="6"/>
  <c r="AT206" i="6"/>
  <c r="M206" i="6"/>
  <c r="F206" i="6"/>
  <c r="AZ205" i="6"/>
  <c r="AY205" i="6"/>
  <c r="AX205" i="6"/>
  <c r="AW205" i="6"/>
  <c r="AV205" i="6"/>
  <c r="AU205" i="6"/>
  <c r="AT205" i="6"/>
  <c r="M205" i="6"/>
  <c r="F205" i="6"/>
  <c r="AZ204" i="6"/>
  <c r="AY204" i="6"/>
  <c r="AX204" i="6"/>
  <c r="AW204" i="6"/>
  <c r="AV204" i="6"/>
  <c r="AU204" i="6"/>
  <c r="AT204" i="6"/>
  <c r="M204" i="6"/>
  <c r="F204" i="6"/>
  <c r="AZ203" i="6"/>
  <c r="AY203" i="6"/>
  <c r="AX203" i="6"/>
  <c r="AW203" i="6"/>
  <c r="AV203" i="6"/>
  <c r="AU203" i="6"/>
  <c r="AT203" i="6"/>
  <c r="M203" i="6"/>
  <c r="F203" i="6"/>
  <c r="AZ202" i="6"/>
  <c r="AY202" i="6"/>
  <c r="AX202" i="6"/>
  <c r="AW202" i="6"/>
  <c r="AV202" i="6"/>
  <c r="AU202" i="6"/>
  <c r="AT202" i="6"/>
  <c r="M202" i="6"/>
  <c r="F202" i="6"/>
  <c r="AZ201" i="6"/>
  <c r="AY201" i="6"/>
  <c r="AX201" i="6"/>
  <c r="AW201" i="6"/>
  <c r="AV201" i="6"/>
  <c r="AU201" i="6"/>
  <c r="AT201" i="6"/>
  <c r="M201" i="6"/>
  <c r="F201" i="6"/>
  <c r="AZ200" i="6"/>
  <c r="AY200" i="6"/>
  <c r="AX200" i="6"/>
  <c r="AW200" i="6"/>
  <c r="AV200" i="6"/>
  <c r="AU200" i="6"/>
  <c r="AT200" i="6"/>
  <c r="M200" i="6"/>
  <c r="F200" i="6"/>
  <c r="AZ199" i="6"/>
  <c r="AY199" i="6"/>
  <c r="AX199" i="6"/>
  <c r="AW199" i="6"/>
  <c r="AV199" i="6"/>
  <c r="AU199" i="6"/>
  <c r="AT199" i="6"/>
  <c r="F199" i="6"/>
  <c r="AZ198" i="6"/>
  <c r="AY198" i="6"/>
  <c r="AX198" i="6"/>
  <c r="AW198" i="6"/>
  <c r="AV198" i="6"/>
  <c r="AU198" i="6"/>
  <c r="AT198" i="6"/>
  <c r="M198" i="6"/>
  <c r="F198" i="6"/>
  <c r="AZ197" i="6"/>
  <c r="AY197" i="6"/>
  <c r="AX197" i="6"/>
  <c r="AW197" i="6"/>
  <c r="AV197" i="6"/>
  <c r="AU197" i="6"/>
  <c r="AT197" i="6"/>
  <c r="M197" i="6"/>
  <c r="F197" i="6"/>
  <c r="AZ196" i="6"/>
  <c r="AY196" i="6"/>
  <c r="AX196" i="6"/>
  <c r="AW196" i="6"/>
  <c r="AV196" i="6"/>
  <c r="AU196" i="6"/>
  <c r="AT196" i="6"/>
  <c r="M196" i="6"/>
  <c r="F196" i="6"/>
  <c r="AZ195" i="6"/>
  <c r="AY195" i="6"/>
  <c r="AX195" i="6"/>
  <c r="AW195" i="6"/>
  <c r="AV195" i="6"/>
  <c r="AU195" i="6"/>
  <c r="AT195" i="6"/>
  <c r="M195" i="6"/>
  <c r="F195" i="6"/>
  <c r="AZ194" i="6"/>
  <c r="AY194" i="6"/>
  <c r="AX194" i="6"/>
  <c r="AW194" i="6"/>
  <c r="AV194" i="6"/>
  <c r="AU194" i="6"/>
  <c r="AT194" i="6"/>
  <c r="M194" i="6"/>
  <c r="F194" i="6"/>
  <c r="AZ193" i="6"/>
  <c r="AY193" i="6"/>
  <c r="AX193" i="6"/>
  <c r="AW193" i="6"/>
  <c r="AV193" i="6"/>
  <c r="AU193" i="6"/>
  <c r="AT193" i="6"/>
  <c r="M193" i="6"/>
  <c r="F193" i="6"/>
  <c r="AZ192" i="6"/>
  <c r="AY192" i="6"/>
  <c r="AX192" i="6"/>
  <c r="AW192" i="6"/>
  <c r="AV192" i="6"/>
  <c r="AU192" i="6"/>
  <c r="AT192" i="6"/>
  <c r="M192" i="6"/>
  <c r="F192" i="6"/>
  <c r="AZ191" i="6"/>
  <c r="AY191" i="6"/>
  <c r="AX191" i="6"/>
  <c r="AW191" i="6"/>
  <c r="AV191" i="6"/>
  <c r="AU191" i="6"/>
  <c r="AT191" i="6"/>
  <c r="M191" i="6"/>
  <c r="F191" i="6"/>
  <c r="AZ190" i="6"/>
  <c r="AY190" i="6"/>
  <c r="AX190" i="6"/>
  <c r="AW190" i="6"/>
  <c r="AV190" i="6"/>
  <c r="AU190" i="6"/>
  <c r="AT190" i="6"/>
  <c r="M190" i="6"/>
  <c r="F190" i="6"/>
  <c r="AZ189" i="6"/>
  <c r="AY189" i="6"/>
  <c r="AX189" i="6"/>
  <c r="AW189" i="6"/>
  <c r="AV189" i="6"/>
  <c r="AU189" i="6"/>
  <c r="AT189" i="6"/>
  <c r="M189" i="6"/>
  <c r="F189" i="6"/>
  <c r="AZ188" i="6"/>
  <c r="AY188" i="6"/>
  <c r="AX188" i="6"/>
  <c r="AW188" i="6"/>
  <c r="AV188" i="6"/>
  <c r="AU188" i="6"/>
  <c r="AT188" i="6"/>
  <c r="M188" i="6"/>
  <c r="F188" i="6"/>
  <c r="AZ187" i="6"/>
  <c r="AY187" i="6"/>
  <c r="AX187" i="6"/>
  <c r="AW187" i="6"/>
  <c r="AV187" i="6"/>
  <c r="AU187" i="6"/>
  <c r="AT187" i="6"/>
  <c r="M187" i="6"/>
  <c r="F187" i="6"/>
  <c r="AZ186" i="6"/>
  <c r="AY186" i="6"/>
  <c r="AX186" i="6"/>
  <c r="AW186" i="6"/>
  <c r="AV186" i="6"/>
  <c r="AU186" i="6"/>
  <c r="AT186" i="6"/>
  <c r="M186" i="6"/>
  <c r="F186" i="6"/>
  <c r="AZ185" i="6"/>
  <c r="AY185" i="6"/>
  <c r="AX185" i="6"/>
  <c r="AW185" i="6"/>
  <c r="AV185" i="6"/>
  <c r="AU185" i="6"/>
  <c r="AT185" i="6"/>
  <c r="F185" i="6"/>
  <c r="AZ184" i="6"/>
  <c r="AY184" i="6"/>
  <c r="AX184" i="6"/>
  <c r="AW184" i="6"/>
  <c r="AV184" i="6"/>
  <c r="AU184" i="6"/>
  <c r="AT184" i="6"/>
  <c r="M184" i="6"/>
  <c r="F184" i="6"/>
  <c r="AZ183" i="6"/>
  <c r="AY183" i="6"/>
  <c r="AX183" i="6"/>
  <c r="AW183" i="6"/>
  <c r="AV183" i="6"/>
  <c r="AU183" i="6"/>
  <c r="AT183" i="6"/>
  <c r="M183" i="6"/>
  <c r="F183" i="6"/>
  <c r="AZ182" i="6"/>
  <c r="AY182" i="6"/>
  <c r="AX182" i="6"/>
  <c r="AW182" i="6"/>
  <c r="AV182" i="6"/>
  <c r="AU182" i="6"/>
  <c r="AT182" i="6"/>
  <c r="M182" i="6"/>
  <c r="F182" i="6"/>
  <c r="AZ181" i="6"/>
  <c r="AY181" i="6"/>
  <c r="AX181" i="6"/>
  <c r="AW181" i="6"/>
  <c r="AV181" i="6"/>
  <c r="AU181" i="6"/>
  <c r="AT181" i="6"/>
  <c r="M181" i="6"/>
  <c r="F181" i="6"/>
  <c r="AZ180" i="6"/>
  <c r="AY180" i="6"/>
  <c r="AX180" i="6"/>
  <c r="AW180" i="6"/>
  <c r="AV180" i="6"/>
  <c r="AU180" i="6"/>
  <c r="AT180" i="6"/>
  <c r="M180" i="6"/>
  <c r="F180" i="6"/>
  <c r="AZ179" i="6"/>
  <c r="AY179" i="6"/>
  <c r="AX179" i="6"/>
  <c r="AW179" i="6"/>
  <c r="AV179" i="6"/>
  <c r="AU179" i="6"/>
  <c r="AT179" i="6"/>
  <c r="M179" i="6"/>
  <c r="F179" i="6"/>
  <c r="AZ178" i="6"/>
  <c r="AY178" i="6"/>
  <c r="AX178" i="6"/>
  <c r="AW178" i="6"/>
  <c r="AV178" i="6"/>
  <c r="AU178" i="6"/>
  <c r="AT178" i="6"/>
  <c r="M178" i="6"/>
  <c r="F178" i="6"/>
  <c r="AZ177" i="6"/>
  <c r="AY177" i="6"/>
  <c r="AX177" i="6"/>
  <c r="AW177" i="6"/>
  <c r="AV177" i="6"/>
  <c r="AU177" i="6"/>
  <c r="AT177" i="6"/>
  <c r="M177" i="6"/>
  <c r="F177" i="6"/>
  <c r="AZ176" i="6"/>
  <c r="AY176" i="6"/>
  <c r="AX176" i="6"/>
  <c r="AW176" i="6"/>
  <c r="AV176" i="6"/>
  <c r="AU176" i="6"/>
  <c r="AT176" i="6"/>
  <c r="M176" i="6"/>
  <c r="F176" i="6"/>
  <c r="AZ175" i="6"/>
  <c r="AY175" i="6"/>
  <c r="AX175" i="6"/>
  <c r="AW175" i="6"/>
  <c r="AV175" i="6"/>
  <c r="AU175" i="6"/>
  <c r="AT175" i="6"/>
  <c r="M175" i="6"/>
  <c r="F175" i="6"/>
  <c r="AZ174" i="6"/>
  <c r="AY174" i="6"/>
  <c r="AX174" i="6"/>
  <c r="AW174" i="6"/>
  <c r="AV174" i="6"/>
  <c r="AU174" i="6"/>
  <c r="AT174" i="6"/>
  <c r="M174" i="6"/>
  <c r="F174" i="6"/>
  <c r="AZ173" i="6"/>
  <c r="AY173" i="6"/>
  <c r="AX173" i="6"/>
  <c r="AW173" i="6"/>
  <c r="AV173" i="6"/>
  <c r="AU173" i="6"/>
  <c r="AT173" i="6"/>
  <c r="M173" i="6"/>
  <c r="F173" i="6"/>
  <c r="AZ172" i="6"/>
  <c r="AY172" i="6"/>
  <c r="AX172" i="6"/>
  <c r="AW172" i="6"/>
  <c r="AV172" i="6"/>
  <c r="AU172" i="6"/>
  <c r="AT172" i="6"/>
  <c r="M172" i="6"/>
  <c r="F172" i="6"/>
  <c r="AZ171" i="6"/>
  <c r="AY171" i="6"/>
  <c r="AX171" i="6"/>
  <c r="AW171" i="6"/>
  <c r="AV171" i="6"/>
  <c r="AU171" i="6"/>
  <c r="AT171" i="6"/>
  <c r="F171" i="6"/>
  <c r="AZ170" i="6"/>
  <c r="AY170" i="6"/>
  <c r="AX170" i="6"/>
  <c r="AW170" i="6"/>
  <c r="AV170" i="6"/>
  <c r="AU170" i="6"/>
  <c r="AT170" i="6"/>
  <c r="M170" i="6"/>
  <c r="F170" i="6"/>
  <c r="AZ169" i="6"/>
  <c r="AY169" i="6"/>
  <c r="AX169" i="6"/>
  <c r="AW169" i="6"/>
  <c r="AV169" i="6"/>
  <c r="AU169" i="6"/>
  <c r="AT169" i="6"/>
  <c r="M169" i="6"/>
  <c r="F169" i="6"/>
  <c r="AZ168" i="6"/>
  <c r="AY168" i="6"/>
  <c r="AX168" i="6"/>
  <c r="AW168" i="6"/>
  <c r="AV168" i="6"/>
  <c r="AU168" i="6"/>
  <c r="AT168" i="6"/>
  <c r="M168" i="6"/>
  <c r="F168" i="6"/>
  <c r="AZ167" i="6"/>
  <c r="AY167" i="6"/>
  <c r="AX167" i="6"/>
  <c r="AW167" i="6"/>
  <c r="AV167" i="6"/>
  <c r="AU167" i="6"/>
  <c r="AT167" i="6"/>
  <c r="M167" i="6"/>
  <c r="F167" i="6"/>
  <c r="AZ166" i="6"/>
  <c r="AY166" i="6"/>
  <c r="AX166" i="6"/>
  <c r="AW166" i="6"/>
  <c r="AV166" i="6"/>
  <c r="AU166" i="6"/>
  <c r="AT166" i="6"/>
  <c r="M166" i="6"/>
  <c r="F166" i="6"/>
  <c r="AZ165" i="6"/>
  <c r="AY165" i="6"/>
  <c r="AX165" i="6"/>
  <c r="AW165" i="6"/>
  <c r="AV165" i="6"/>
  <c r="AU165" i="6"/>
  <c r="AT165" i="6"/>
  <c r="M165" i="6"/>
  <c r="F165" i="6"/>
  <c r="AZ164" i="6"/>
  <c r="AY164" i="6"/>
  <c r="AX164" i="6"/>
  <c r="AW164" i="6"/>
  <c r="AV164" i="6"/>
  <c r="AU164" i="6"/>
  <c r="AT164" i="6"/>
  <c r="M164" i="6"/>
  <c r="F164" i="6"/>
  <c r="AZ163" i="6"/>
  <c r="AY163" i="6"/>
  <c r="AX163" i="6"/>
  <c r="AW163" i="6"/>
  <c r="AV163" i="6"/>
  <c r="AU163" i="6"/>
  <c r="AT163" i="6"/>
  <c r="M163" i="6"/>
  <c r="F163" i="6"/>
  <c r="AZ162" i="6"/>
  <c r="AY162" i="6"/>
  <c r="AX162" i="6"/>
  <c r="AW162" i="6"/>
  <c r="AV162" i="6"/>
  <c r="AU162" i="6"/>
  <c r="AT162" i="6"/>
  <c r="M162" i="6"/>
  <c r="F162" i="6"/>
  <c r="AZ161" i="6"/>
  <c r="AY161" i="6"/>
  <c r="AX161" i="6"/>
  <c r="AW161" i="6"/>
  <c r="AV161" i="6"/>
  <c r="AU161" i="6"/>
  <c r="AT161" i="6"/>
  <c r="M161" i="6"/>
  <c r="F161" i="6"/>
  <c r="AZ160" i="6"/>
  <c r="AY160" i="6"/>
  <c r="AX160" i="6"/>
  <c r="AW160" i="6"/>
  <c r="AV160" i="6"/>
  <c r="AU160" i="6"/>
  <c r="AT160" i="6"/>
  <c r="M160" i="6"/>
  <c r="F160" i="6"/>
  <c r="AZ159" i="6"/>
  <c r="AY159" i="6"/>
  <c r="AX159" i="6"/>
  <c r="AW159" i="6"/>
  <c r="AV159" i="6"/>
  <c r="AU159" i="6"/>
  <c r="AT159" i="6"/>
  <c r="M159" i="6"/>
  <c r="F159" i="6"/>
  <c r="AZ158" i="6"/>
  <c r="AY158" i="6"/>
  <c r="AX158" i="6"/>
  <c r="AW158" i="6"/>
  <c r="AV158" i="6"/>
  <c r="AU158" i="6"/>
  <c r="AT158" i="6"/>
  <c r="M158" i="6"/>
  <c r="F158" i="6"/>
  <c r="AZ157" i="6"/>
  <c r="AY157" i="6"/>
  <c r="AX157" i="6"/>
  <c r="AW157" i="6"/>
  <c r="AV157" i="6"/>
  <c r="AU157" i="6"/>
  <c r="AT157" i="6"/>
  <c r="F157" i="6"/>
  <c r="AZ156" i="6"/>
  <c r="AY156" i="6"/>
  <c r="AX156" i="6"/>
  <c r="AW156" i="6"/>
  <c r="AV156" i="6"/>
  <c r="AU156" i="6"/>
  <c r="AT156" i="6"/>
  <c r="M156" i="6"/>
  <c r="F156" i="6"/>
  <c r="AZ155" i="6"/>
  <c r="AY155" i="6"/>
  <c r="AX155" i="6"/>
  <c r="AW155" i="6"/>
  <c r="AV155" i="6"/>
  <c r="AU155" i="6"/>
  <c r="AT155" i="6"/>
  <c r="M155" i="6"/>
  <c r="F155" i="6"/>
  <c r="AZ154" i="6"/>
  <c r="AY154" i="6"/>
  <c r="AX154" i="6"/>
  <c r="AW154" i="6"/>
  <c r="AV154" i="6"/>
  <c r="AU154" i="6"/>
  <c r="AT154" i="6"/>
  <c r="M154" i="6"/>
  <c r="F154" i="6"/>
  <c r="AZ153" i="6"/>
  <c r="AY153" i="6"/>
  <c r="AX153" i="6"/>
  <c r="AW153" i="6"/>
  <c r="AV153" i="6"/>
  <c r="AU153" i="6"/>
  <c r="AT153" i="6"/>
  <c r="M153" i="6"/>
  <c r="F153" i="6"/>
  <c r="AZ152" i="6"/>
  <c r="AY152" i="6"/>
  <c r="AX152" i="6"/>
  <c r="AW152" i="6"/>
  <c r="AV152" i="6"/>
  <c r="AU152" i="6"/>
  <c r="AT152" i="6"/>
  <c r="M152" i="6"/>
  <c r="F152" i="6"/>
  <c r="AZ151" i="6"/>
  <c r="AY151" i="6"/>
  <c r="AX151" i="6"/>
  <c r="AW151" i="6"/>
  <c r="AV151" i="6"/>
  <c r="AU151" i="6"/>
  <c r="AT151" i="6"/>
  <c r="M151" i="6"/>
  <c r="F151" i="6"/>
  <c r="AZ150" i="6"/>
  <c r="AY150" i="6"/>
  <c r="AX150" i="6"/>
  <c r="AW150" i="6"/>
  <c r="AV150" i="6"/>
  <c r="AU150" i="6"/>
  <c r="AT150" i="6"/>
  <c r="M150" i="6"/>
  <c r="F150" i="6"/>
  <c r="AZ149" i="6"/>
  <c r="AY149" i="6"/>
  <c r="AX149" i="6"/>
  <c r="AW149" i="6"/>
  <c r="AV149" i="6"/>
  <c r="AU149" i="6"/>
  <c r="AT149" i="6"/>
  <c r="M149" i="6"/>
  <c r="F149" i="6"/>
  <c r="AZ148" i="6"/>
  <c r="AY148" i="6"/>
  <c r="AX148" i="6"/>
  <c r="AW148" i="6"/>
  <c r="AV148" i="6"/>
  <c r="AU148" i="6"/>
  <c r="AT148" i="6"/>
  <c r="M148" i="6"/>
  <c r="F148" i="6"/>
  <c r="AZ147" i="6"/>
  <c r="AY147" i="6"/>
  <c r="AX147" i="6"/>
  <c r="AW147" i="6"/>
  <c r="AV147" i="6"/>
  <c r="AU147" i="6"/>
  <c r="AT147" i="6"/>
  <c r="M147" i="6"/>
  <c r="F147" i="6"/>
  <c r="AZ146" i="6"/>
  <c r="AY146" i="6"/>
  <c r="AX146" i="6"/>
  <c r="AW146" i="6"/>
  <c r="AV146" i="6"/>
  <c r="AU146" i="6"/>
  <c r="AT146" i="6"/>
  <c r="M146" i="6"/>
  <c r="F146" i="6"/>
  <c r="AZ145" i="6"/>
  <c r="AY145" i="6"/>
  <c r="AX145" i="6"/>
  <c r="AW145" i="6"/>
  <c r="AV145" i="6"/>
  <c r="AU145" i="6"/>
  <c r="AT145" i="6"/>
  <c r="M145" i="6"/>
  <c r="F145" i="6"/>
  <c r="AZ144" i="6"/>
  <c r="AY144" i="6"/>
  <c r="AX144" i="6"/>
  <c r="AW144" i="6"/>
  <c r="AV144" i="6"/>
  <c r="AU144" i="6"/>
  <c r="AT144" i="6"/>
  <c r="M144" i="6"/>
  <c r="F144" i="6"/>
  <c r="AZ143" i="6"/>
  <c r="AY143" i="6"/>
  <c r="AX143" i="6"/>
  <c r="AW143" i="6"/>
  <c r="AV143" i="6"/>
  <c r="AU143" i="6"/>
  <c r="AT143" i="6"/>
  <c r="F143" i="6"/>
  <c r="AZ142" i="6"/>
  <c r="AY142" i="6"/>
  <c r="AX142" i="6"/>
  <c r="AW142" i="6"/>
  <c r="AV142" i="6"/>
  <c r="AU142" i="6"/>
  <c r="AT142" i="6"/>
  <c r="M142" i="6"/>
  <c r="F142" i="6"/>
  <c r="AZ141" i="6"/>
  <c r="AY141" i="6"/>
  <c r="AX141" i="6"/>
  <c r="AW141" i="6"/>
  <c r="AV141" i="6"/>
  <c r="AU141" i="6"/>
  <c r="AT141" i="6"/>
  <c r="M141" i="6"/>
  <c r="F141" i="6"/>
  <c r="AZ140" i="6"/>
  <c r="AY140" i="6"/>
  <c r="AX140" i="6"/>
  <c r="AW140" i="6"/>
  <c r="AV140" i="6"/>
  <c r="AU140" i="6"/>
  <c r="AT140" i="6"/>
  <c r="M140" i="6"/>
  <c r="F140" i="6"/>
  <c r="AZ139" i="6"/>
  <c r="AY139" i="6"/>
  <c r="AX139" i="6"/>
  <c r="AW139" i="6"/>
  <c r="AV139" i="6"/>
  <c r="AU139" i="6"/>
  <c r="AT139" i="6"/>
  <c r="M139" i="6"/>
  <c r="F139" i="6"/>
  <c r="AZ138" i="6"/>
  <c r="AY138" i="6"/>
  <c r="AX138" i="6"/>
  <c r="AW138" i="6"/>
  <c r="AV138" i="6"/>
  <c r="AU138" i="6"/>
  <c r="AT138" i="6"/>
  <c r="M138" i="6"/>
  <c r="F138" i="6"/>
  <c r="AZ137" i="6"/>
  <c r="AY137" i="6"/>
  <c r="AX137" i="6"/>
  <c r="AW137" i="6"/>
  <c r="AV137" i="6"/>
  <c r="AU137" i="6"/>
  <c r="AT137" i="6"/>
  <c r="M137" i="6"/>
  <c r="F137" i="6"/>
  <c r="AZ136" i="6"/>
  <c r="AY136" i="6"/>
  <c r="AX136" i="6"/>
  <c r="AW136" i="6"/>
  <c r="AV136" i="6"/>
  <c r="AU136" i="6"/>
  <c r="AT136" i="6"/>
  <c r="M136" i="6"/>
  <c r="F136" i="6"/>
  <c r="AZ135" i="6"/>
  <c r="AY135" i="6"/>
  <c r="AX135" i="6"/>
  <c r="AW135" i="6"/>
  <c r="AV135" i="6"/>
  <c r="AU135" i="6"/>
  <c r="AT135" i="6"/>
  <c r="M135" i="6"/>
  <c r="F135" i="6"/>
  <c r="AZ134" i="6"/>
  <c r="AY134" i="6"/>
  <c r="AX134" i="6"/>
  <c r="AW134" i="6"/>
  <c r="AV134" i="6"/>
  <c r="AU134" i="6"/>
  <c r="AT134" i="6"/>
  <c r="M134" i="6"/>
  <c r="F134" i="6"/>
  <c r="AZ133" i="6"/>
  <c r="AY133" i="6"/>
  <c r="AX133" i="6"/>
  <c r="AW133" i="6"/>
  <c r="AV133" i="6"/>
  <c r="AU133" i="6"/>
  <c r="AT133" i="6"/>
  <c r="M133" i="6"/>
  <c r="F133" i="6"/>
  <c r="AZ132" i="6"/>
  <c r="AY132" i="6"/>
  <c r="AX132" i="6"/>
  <c r="AW132" i="6"/>
  <c r="AV132" i="6"/>
  <c r="AU132" i="6"/>
  <c r="AT132" i="6"/>
  <c r="M132" i="6"/>
  <c r="F132" i="6"/>
  <c r="AZ131" i="6"/>
  <c r="AY131" i="6"/>
  <c r="AX131" i="6"/>
  <c r="AW131" i="6"/>
  <c r="AV131" i="6"/>
  <c r="AU131" i="6"/>
  <c r="AT131" i="6"/>
  <c r="M131" i="6"/>
  <c r="F131" i="6"/>
  <c r="AZ130" i="6"/>
  <c r="AY130" i="6"/>
  <c r="AX130" i="6"/>
  <c r="AW130" i="6"/>
  <c r="AV130" i="6"/>
  <c r="AU130" i="6"/>
  <c r="AT130" i="6"/>
  <c r="M130" i="6"/>
  <c r="F130" i="6"/>
  <c r="AZ129" i="6"/>
  <c r="AY129" i="6"/>
  <c r="AX129" i="6"/>
  <c r="AW129" i="6"/>
  <c r="AV129" i="6"/>
  <c r="AU129" i="6"/>
  <c r="AT129" i="6"/>
  <c r="F129" i="6"/>
  <c r="AZ128" i="6"/>
  <c r="AY128" i="6"/>
  <c r="AX128" i="6"/>
  <c r="AW128" i="6"/>
  <c r="AV128" i="6"/>
  <c r="AU128" i="6"/>
  <c r="AT128" i="6"/>
  <c r="M128" i="6"/>
  <c r="F128" i="6"/>
  <c r="AZ127" i="6"/>
  <c r="AY127" i="6"/>
  <c r="AX127" i="6"/>
  <c r="AW127" i="6"/>
  <c r="AV127" i="6"/>
  <c r="AU127" i="6"/>
  <c r="AT127" i="6"/>
  <c r="M127" i="6"/>
  <c r="F127" i="6"/>
  <c r="AZ126" i="6"/>
  <c r="AY126" i="6"/>
  <c r="AX126" i="6"/>
  <c r="AW126" i="6"/>
  <c r="AV126" i="6"/>
  <c r="AU126" i="6"/>
  <c r="AT126" i="6"/>
  <c r="M126" i="6"/>
  <c r="F126" i="6"/>
  <c r="AZ125" i="6"/>
  <c r="AY125" i="6"/>
  <c r="AX125" i="6"/>
  <c r="AW125" i="6"/>
  <c r="AV125" i="6"/>
  <c r="AU125" i="6"/>
  <c r="AT125" i="6"/>
  <c r="M125" i="6"/>
  <c r="F125" i="6"/>
  <c r="AZ124" i="6"/>
  <c r="AY124" i="6"/>
  <c r="AX124" i="6"/>
  <c r="AW124" i="6"/>
  <c r="AV124" i="6"/>
  <c r="AU124" i="6"/>
  <c r="AT124" i="6"/>
  <c r="M124" i="6"/>
  <c r="F124" i="6"/>
  <c r="AZ123" i="6"/>
  <c r="AY123" i="6"/>
  <c r="AX123" i="6"/>
  <c r="AW123" i="6"/>
  <c r="AV123" i="6"/>
  <c r="AU123" i="6"/>
  <c r="AT123" i="6"/>
  <c r="M123" i="6"/>
  <c r="F123" i="6"/>
  <c r="AZ122" i="6"/>
  <c r="AY122" i="6"/>
  <c r="AX122" i="6"/>
  <c r="AW122" i="6"/>
  <c r="AV122" i="6"/>
  <c r="AU122" i="6"/>
  <c r="AT122" i="6"/>
  <c r="M122" i="6"/>
  <c r="F122" i="6"/>
  <c r="AZ121" i="6"/>
  <c r="AY121" i="6"/>
  <c r="AX121" i="6"/>
  <c r="AW121" i="6"/>
  <c r="AV121" i="6"/>
  <c r="AU121" i="6"/>
  <c r="AT121" i="6"/>
  <c r="M121" i="6"/>
  <c r="F121" i="6"/>
  <c r="AZ120" i="6"/>
  <c r="AY120" i="6"/>
  <c r="AX120" i="6"/>
  <c r="AW120" i="6"/>
  <c r="AV120" i="6"/>
  <c r="AU120" i="6"/>
  <c r="AT120" i="6"/>
  <c r="M120" i="6"/>
  <c r="F120" i="6"/>
  <c r="AZ119" i="6"/>
  <c r="AY119" i="6"/>
  <c r="AX119" i="6"/>
  <c r="AW119" i="6"/>
  <c r="AV119" i="6"/>
  <c r="AU119" i="6"/>
  <c r="AT119" i="6"/>
  <c r="M119" i="6"/>
  <c r="F119" i="6"/>
  <c r="AZ118" i="6"/>
  <c r="AY118" i="6"/>
  <c r="AX118" i="6"/>
  <c r="AW118" i="6"/>
  <c r="AV118" i="6"/>
  <c r="AU118" i="6"/>
  <c r="AT118" i="6"/>
  <c r="M118" i="6"/>
  <c r="F118" i="6"/>
  <c r="AZ117" i="6"/>
  <c r="AY117" i="6"/>
  <c r="AX117" i="6"/>
  <c r="AW117" i="6"/>
  <c r="AV117" i="6"/>
  <c r="AU117" i="6"/>
  <c r="AT117" i="6"/>
  <c r="M117" i="6"/>
  <c r="F117" i="6"/>
  <c r="AZ116" i="6"/>
  <c r="AY116" i="6"/>
  <c r="AX116" i="6"/>
  <c r="AW116" i="6"/>
  <c r="AV116" i="6"/>
  <c r="AU116" i="6"/>
  <c r="AT116" i="6"/>
  <c r="M116" i="6"/>
  <c r="F116" i="6"/>
  <c r="AY115" i="6"/>
  <c r="AX115" i="6"/>
  <c r="AW115" i="6"/>
  <c r="AV115" i="6"/>
  <c r="AU115" i="6"/>
  <c r="AT115" i="6"/>
  <c r="F115" i="6"/>
  <c r="AY114" i="6"/>
  <c r="AX114" i="6"/>
  <c r="AW114" i="6"/>
  <c r="AV114" i="6"/>
  <c r="AU114" i="6"/>
  <c r="AT114" i="6"/>
  <c r="M114" i="6"/>
  <c r="F114" i="6"/>
  <c r="AY113" i="6"/>
  <c r="AX113" i="6"/>
  <c r="AW113" i="6"/>
  <c r="AV113" i="6"/>
  <c r="AU113" i="6"/>
  <c r="AT113" i="6"/>
  <c r="M113" i="6"/>
  <c r="F113" i="6"/>
  <c r="AY112" i="6"/>
  <c r="AX112" i="6"/>
  <c r="AW112" i="6"/>
  <c r="AV112" i="6"/>
  <c r="AU112" i="6"/>
  <c r="AT112" i="6"/>
  <c r="M112" i="6"/>
  <c r="F112" i="6"/>
  <c r="AY111" i="6"/>
  <c r="AX111" i="6"/>
  <c r="AW111" i="6"/>
  <c r="AV111" i="6"/>
  <c r="AU111" i="6"/>
  <c r="AT111" i="6"/>
  <c r="M111" i="6"/>
  <c r="F111" i="6"/>
  <c r="AY110" i="6"/>
  <c r="AX110" i="6"/>
  <c r="AW110" i="6"/>
  <c r="AV110" i="6"/>
  <c r="AU110" i="6"/>
  <c r="AT110" i="6"/>
  <c r="M110" i="6"/>
  <c r="F110" i="6"/>
  <c r="AY109" i="6"/>
  <c r="AX109" i="6"/>
  <c r="AW109" i="6"/>
  <c r="AV109" i="6"/>
  <c r="AU109" i="6"/>
  <c r="AT109" i="6"/>
  <c r="M109" i="6"/>
  <c r="F109" i="6"/>
  <c r="AY108" i="6"/>
  <c r="AX108" i="6"/>
  <c r="AW108" i="6"/>
  <c r="AV108" i="6"/>
  <c r="AU108" i="6"/>
  <c r="AT108" i="6"/>
  <c r="M108" i="6"/>
  <c r="F108" i="6"/>
  <c r="AY107" i="6"/>
  <c r="AX107" i="6"/>
  <c r="AW107" i="6"/>
  <c r="AV107" i="6"/>
  <c r="AU107" i="6"/>
  <c r="AT107" i="6"/>
  <c r="M107" i="6"/>
  <c r="F107" i="6"/>
  <c r="AY106" i="6"/>
  <c r="AX106" i="6"/>
  <c r="AW106" i="6"/>
  <c r="AV106" i="6"/>
  <c r="AU106" i="6"/>
  <c r="AT106" i="6"/>
  <c r="M106" i="6"/>
  <c r="F106" i="6"/>
  <c r="AY105" i="6"/>
  <c r="AX105" i="6"/>
  <c r="AW105" i="6"/>
  <c r="AV105" i="6"/>
  <c r="AU105" i="6"/>
  <c r="AT105" i="6"/>
  <c r="M105" i="6"/>
  <c r="F105" i="6"/>
  <c r="AY104" i="6"/>
  <c r="AX104" i="6"/>
  <c r="AW104" i="6"/>
  <c r="AV104" i="6"/>
  <c r="AU104" i="6"/>
  <c r="AT104" i="6"/>
  <c r="M104" i="6"/>
  <c r="F104" i="6"/>
  <c r="AY103" i="6"/>
  <c r="AX103" i="6"/>
  <c r="AW103" i="6"/>
  <c r="AV103" i="6"/>
  <c r="AU103" i="6"/>
  <c r="AT103" i="6"/>
  <c r="M103" i="6"/>
  <c r="F103" i="6"/>
  <c r="AY102" i="6"/>
  <c r="AX102" i="6"/>
  <c r="AW102" i="6"/>
  <c r="AV102" i="6"/>
  <c r="AU102" i="6"/>
  <c r="AT102" i="6"/>
  <c r="M102" i="6"/>
  <c r="F102" i="6"/>
  <c r="AZ101" i="6"/>
  <c r="AX101" i="6"/>
  <c r="AW101" i="6"/>
  <c r="AV101" i="6"/>
  <c r="AU101" i="6"/>
  <c r="AT101" i="6"/>
  <c r="F101" i="6"/>
  <c r="AZ100" i="6"/>
  <c r="AX100" i="6"/>
  <c r="AW100" i="6"/>
  <c r="AV100" i="6"/>
  <c r="AU100" i="6"/>
  <c r="AT100" i="6"/>
  <c r="M100" i="6"/>
  <c r="F100" i="6"/>
  <c r="AZ99" i="6"/>
  <c r="AX99" i="6"/>
  <c r="AW99" i="6"/>
  <c r="AV99" i="6"/>
  <c r="AU99" i="6"/>
  <c r="AT99" i="6"/>
  <c r="M99" i="6"/>
  <c r="F99" i="6"/>
  <c r="AZ98" i="6"/>
  <c r="AX98" i="6"/>
  <c r="AW98" i="6"/>
  <c r="AV98" i="6"/>
  <c r="AU98" i="6"/>
  <c r="AT98" i="6"/>
  <c r="M98" i="6"/>
  <c r="F98" i="6"/>
  <c r="AZ97" i="6"/>
  <c r="AX97" i="6"/>
  <c r="AW97" i="6"/>
  <c r="AV97" i="6"/>
  <c r="AU97" i="6"/>
  <c r="AT97" i="6"/>
  <c r="M97" i="6"/>
  <c r="F97" i="6"/>
  <c r="AZ96" i="6"/>
  <c r="AX96" i="6"/>
  <c r="AW96" i="6"/>
  <c r="AV96" i="6"/>
  <c r="AU96" i="6"/>
  <c r="AT96" i="6"/>
  <c r="M96" i="6"/>
  <c r="F96" i="6"/>
  <c r="AZ95" i="6"/>
  <c r="AX95" i="6"/>
  <c r="AW95" i="6"/>
  <c r="AV95" i="6"/>
  <c r="AU95" i="6"/>
  <c r="AT95" i="6"/>
  <c r="M95" i="6"/>
  <c r="F95" i="6"/>
  <c r="AZ94" i="6"/>
  <c r="AX94" i="6"/>
  <c r="AW94" i="6"/>
  <c r="AV94" i="6"/>
  <c r="AU94" i="6"/>
  <c r="AT94" i="6"/>
  <c r="M94" i="6"/>
  <c r="F94" i="6"/>
  <c r="AZ93" i="6"/>
  <c r="AX93" i="6"/>
  <c r="AW93" i="6"/>
  <c r="AV93" i="6"/>
  <c r="AU93" i="6"/>
  <c r="AT93" i="6"/>
  <c r="M93" i="6"/>
  <c r="F93" i="6"/>
  <c r="AZ92" i="6"/>
  <c r="AX92" i="6"/>
  <c r="AW92" i="6"/>
  <c r="AV92" i="6"/>
  <c r="AU92" i="6"/>
  <c r="AT92" i="6"/>
  <c r="M92" i="6"/>
  <c r="F92" i="6"/>
  <c r="AZ91" i="6"/>
  <c r="AX91" i="6"/>
  <c r="AW91" i="6"/>
  <c r="AV91" i="6"/>
  <c r="AU91" i="6"/>
  <c r="AT91" i="6"/>
  <c r="M91" i="6"/>
  <c r="F91" i="6"/>
  <c r="AZ90" i="6"/>
  <c r="AX90" i="6"/>
  <c r="AW90" i="6"/>
  <c r="AV90" i="6"/>
  <c r="AU90" i="6"/>
  <c r="AT90" i="6"/>
  <c r="M90" i="6"/>
  <c r="F90" i="6"/>
  <c r="AZ89" i="6"/>
  <c r="AX89" i="6"/>
  <c r="AW89" i="6"/>
  <c r="AV89" i="6"/>
  <c r="AU89" i="6"/>
  <c r="AT89" i="6"/>
  <c r="M89" i="6"/>
  <c r="F89" i="6"/>
  <c r="AZ88" i="6"/>
  <c r="AX88" i="6"/>
  <c r="AW88" i="6"/>
  <c r="AV88" i="6"/>
  <c r="AU88" i="6"/>
  <c r="AT88" i="6"/>
  <c r="M88" i="6"/>
  <c r="F88" i="6"/>
  <c r="AZ87" i="6"/>
  <c r="AY87" i="6"/>
  <c r="AW87" i="6"/>
  <c r="AV87" i="6"/>
  <c r="AU87" i="6"/>
  <c r="AT87" i="6"/>
  <c r="F87" i="6"/>
  <c r="AZ86" i="6"/>
  <c r="AY86" i="6"/>
  <c r="AW86" i="6"/>
  <c r="AV86" i="6"/>
  <c r="AU86" i="6"/>
  <c r="AT86" i="6"/>
  <c r="M86" i="6"/>
  <c r="F86" i="6"/>
  <c r="AZ85" i="6"/>
  <c r="AY85" i="6"/>
  <c r="AW85" i="6"/>
  <c r="AV85" i="6"/>
  <c r="AU85" i="6"/>
  <c r="AT85" i="6"/>
  <c r="M85" i="6"/>
  <c r="F85" i="6"/>
  <c r="AZ84" i="6"/>
  <c r="AY84" i="6"/>
  <c r="AW84" i="6"/>
  <c r="AV84" i="6"/>
  <c r="AU84" i="6"/>
  <c r="AT84" i="6"/>
  <c r="M84" i="6"/>
  <c r="F84" i="6"/>
  <c r="AZ83" i="6"/>
  <c r="AY83" i="6"/>
  <c r="AW83" i="6"/>
  <c r="AV83" i="6"/>
  <c r="AU83" i="6"/>
  <c r="AT83" i="6"/>
  <c r="M83" i="6"/>
  <c r="F83" i="6"/>
  <c r="AZ82" i="6"/>
  <c r="AY82" i="6"/>
  <c r="AW82" i="6"/>
  <c r="AV82" i="6"/>
  <c r="AU82" i="6"/>
  <c r="AT82" i="6"/>
  <c r="M82" i="6"/>
  <c r="F82" i="6"/>
  <c r="AZ81" i="6"/>
  <c r="AY81" i="6"/>
  <c r="AW81" i="6"/>
  <c r="AV81" i="6"/>
  <c r="AU81" i="6"/>
  <c r="AT81" i="6"/>
  <c r="M81" i="6"/>
  <c r="F81" i="6"/>
  <c r="AZ80" i="6"/>
  <c r="AY80" i="6"/>
  <c r="AW80" i="6"/>
  <c r="AV80" i="6"/>
  <c r="AU80" i="6"/>
  <c r="AT80" i="6"/>
  <c r="M80" i="6"/>
  <c r="F80" i="6"/>
  <c r="AZ79" i="6"/>
  <c r="AY79" i="6"/>
  <c r="AW79" i="6"/>
  <c r="AV79" i="6"/>
  <c r="AU79" i="6"/>
  <c r="AT79" i="6"/>
  <c r="M79" i="6"/>
  <c r="F79" i="6"/>
  <c r="AZ78" i="6"/>
  <c r="AY78" i="6"/>
  <c r="AW78" i="6"/>
  <c r="AV78" i="6"/>
  <c r="AU78" i="6"/>
  <c r="AT78" i="6"/>
  <c r="M78" i="6"/>
  <c r="F78" i="6"/>
  <c r="AZ77" i="6"/>
  <c r="AY77" i="6"/>
  <c r="AW77" i="6"/>
  <c r="AV77" i="6"/>
  <c r="AU77" i="6"/>
  <c r="AT77" i="6"/>
  <c r="M77" i="6"/>
  <c r="F77" i="6"/>
  <c r="AZ76" i="6"/>
  <c r="AY76" i="6"/>
  <c r="AW76" i="6"/>
  <c r="AV76" i="6"/>
  <c r="AU76" i="6"/>
  <c r="AT76" i="6"/>
  <c r="M76" i="6"/>
  <c r="F76" i="6"/>
  <c r="AZ75" i="6"/>
  <c r="AY75" i="6"/>
  <c r="AW75" i="6"/>
  <c r="AV75" i="6"/>
  <c r="AU75" i="6"/>
  <c r="AT75" i="6"/>
  <c r="M75" i="6"/>
  <c r="F75" i="6"/>
  <c r="AZ74" i="6"/>
  <c r="AY74" i="6"/>
  <c r="AW74" i="6"/>
  <c r="AV74" i="6"/>
  <c r="AU74" i="6"/>
  <c r="AT74" i="6"/>
  <c r="M74" i="6"/>
  <c r="F74" i="6"/>
  <c r="AZ73" i="6"/>
  <c r="AY73" i="6"/>
  <c r="AX73" i="6"/>
  <c r="AV73" i="6"/>
  <c r="AU73" i="6"/>
  <c r="AT73" i="6"/>
  <c r="F73" i="6"/>
  <c r="AZ72" i="6"/>
  <c r="AY72" i="6"/>
  <c r="AX72" i="6"/>
  <c r="AV72" i="6"/>
  <c r="AU72" i="6"/>
  <c r="AT72" i="6"/>
  <c r="M72" i="6"/>
  <c r="F72" i="6"/>
  <c r="AZ71" i="6"/>
  <c r="AY71" i="6"/>
  <c r="AX71" i="6"/>
  <c r="AV71" i="6"/>
  <c r="AU71" i="6"/>
  <c r="AT71" i="6"/>
  <c r="M71" i="6"/>
  <c r="F71" i="6"/>
  <c r="AZ70" i="6"/>
  <c r="AY70" i="6"/>
  <c r="AX70" i="6"/>
  <c r="AV70" i="6"/>
  <c r="AU70" i="6"/>
  <c r="AT70" i="6"/>
  <c r="M70" i="6"/>
  <c r="F70" i="6"/>
  <c r="AZ69" i="6"/>
  <c r="AY69" i="6"/>
  <c r="AX69" i="6"/>
  <c r="AV69" i="6"/>
  <c r="AU69" i="6"/>
  <c r="AT69" i="6"/>
  <c r="M69" i="6"/>
  <c r="F69" i="6"/>
  <c r="AZ68" i="6"/>
  <c r="AY68" i="6"/>
  <c r="AX68" i="6"/>
  <c r="AV68" i="6"/>
  <c r="AU68" i="6"/>
  <c r="AT68" i="6"/>
  <c r="M68" i="6"/>
  <c r="F68" i="6"/>
  <c r="AZ67" i="6"/>
  <c r="AY67" i="6"/>
  <c r="AX67" i="6"/>
  <c r="AV67" i="6"/>
  <c r="AU67" i="6"/>
  <c r="AT67" i="6"/>
  <c r="M67" i="6"/>
  <c r="F67" i="6"/>
  <c r="AZ66" i="6"/>
  <c r="AY66" i="6"/>
  <c r="AX66" i="6"/>
  <c r="AV66" i="6"/>
  <c r="AU66" i="6"/>
  <c r="AT66" i="6"/>
  <c r="M66" i="6"/>
  <c r="F66" i="6"/>
  <c r="AZ65" i="6"/>
  <c r="AY65" i="6"/>
  <c r="AX65" i="6"/>
  <c r="AV65" i="6"/>
  <c r="AU65" i="6"/>
  <c r="AT65" i="6"/>
  <c r="M65" i="6"/>
  <c r="F65" i="6"/>
  <c r="AZ64" i="6"/>
  <c r="AY64" i="6"/>
  <c r="AX64" i="6"/>
  <c r="AV64" i="6"/>
  <c r="AU64" i="6"/>
  <c r="AT64" i="6"/>
  <c r="M64" i="6"/>
  <c r="F64" i="6"/>
  <c r="AZ63" i="6"/>
  <c r="AY63" i="6"/>
  <c r="AX63" i="6"/>
  <c r="AV63" i="6"/>
  <c r="AU63" i="6"/>
  <c r="AT63" i="6"/>
  <c r="M63" i="6"/>
  <c r="F63" i="6"/>
  <c r="AZ62" i="6"/>
  <c r="AY62" i="6"/>
  <c r="AX62" i="6"/>
  <c r="AV62" i="6"/>
  <c r="AU62" i="6"/>
  <c r="AT62" i="6"/>
  <c r="M62" i="6"/>
  <c r="F62" i="6"/>
  <c r="AZ61" i="6"/>
  <c r="AY61" i="6"/>
  <c r="AX61" i="6"/>
  <c r="AV61" i="6"/>
  <c r="AU61" i="6"/>
  <c r="AT61" i="6"/>
  <c r="M61" i="6"/>
  <c r="F61" i="6"/>
  <c r="AZ60" i="6"/>
  <c r="AY60" i="6"/>
  <c r="AX60" i="6"/>
  <c r="AV60" i="6"/>
  <c r="AU60" i="6"/>
  <c r="AT60" i="6"/>
  <c r="M60" i="6"/>
  <c r="F60" i="6"/>
  <c r="AZ59" i="6"/>
  <c r="AY59" i="6"/>
  <c r="AX59" i="6"/>
  <c r="AW59" i="6"/>
  <c r="AU59" i="6"/>
  <c r="AT59" i="6"/>
  <c r="F59" i="6"/>
  <c r="AZ58" i="6"/>
  <c r="AY58" i="6"/>
  <c r="AX58" i="6"/>
  <c r="AW58" i="6"/>
  <c r="AU58" i="6"/>
  <c r="AT58" i="6"/>
  <c r="M58" i="6"/>
  <c r="F58" i="6"/>
  <c r="AZ57" i="6"/>
  <c r="AY57" i="6"/>
  <c r="AX57" i="6"/>
  <c r="AW57" i="6"/>
  <c r="AU57" i="6"/>
  <c r="AT57" i="6"/>
  <c r="M57" i="6"/>
  <c r="F57" i="6"/>
  <c r="AZ56" i="6"/>
  <c r="AY56" i="6"/>
  <c r="AX56" i="6"/>
  <c r="AW56" i="6"/>
  <c r="AU56" i="6"/>
  <c r="AT56" i="6"/>
  <c r="M56" i="6"/>
  <c r="F56" i="6"/>
  <c r="AZ55" i="6"/>
  <c r="AY55" i="6"/>
  <c r="AX55" i="6"/>
  <c r="AW55" i="6"/>
  <c r="AU55" i="6"/>
  <c r="AT55" i="6"/>
  <c r="M55" i="6"/>
  <c r="F55" i="6"/>
  <c r="AZ54" i="6"/>
  <c r="AY54" i="6"/>
  <c r="AX54" i="6"/>
  <c r="AW54" i="6"/>
  <c r="AU54" i="6"/>
  <c r="AT54" i="6"/>
  <c r="M54" i="6"/>
  <c r="F54" i="6"/>
  <c r="AZ53" i="6"/>
  <c r="AY53" i="6"/>
  <c r="AX53" i="6"/>
  <c r="AW53" i="6"/>
  <c r="AU53" i="6"/>
  <c r="AT53" i="6"/>
  <c r="M53" i="6"/>
  <c r="F53" i="6"/>
  <c r="AZ52" i="6"/>
  <c r="AY52" i="6"/>
  <c r="AX52" i="6"/>
  <c r="AW52" i="6"/>
  <c r="AU52" i="6"/>
  <c r="AT52" i="6"/>
  <c r="M52" i="6"/>
  <c r="F52" i="6"/>
  <c r="AZ51" i="6"/>
  <c r="AY51" i="6"/>
  <c r="AX51" i="6"/>
  <c r="AW51" i="6"/>
  <c r="AU51" i="6"/>
  <c r="AT51" i="6"/>
  <c r="M51" i="6"/>
  <c r="F51" i="6"/>
  <c r="AZ50" i="6"/>
  <c r="AY50" i="6"/>
  <c r="AX50" i="6"/>
  <c r="AW50" i="6"/>
  <c r="AU50" i="6"/>
  <c r="AT50" i="6"/>
  <c r="M50" i="6"/>
  <c r="F50" i="6"/>
  <c r="AZ49" i="6"/>
  <c r="AY49" i="6"/>
  <c r="AX49" i="6"/>
  <c r="AW49" i="6"/>
  <c r="AU49" i="6"/>
  <c r="AT49" i="6"/>
  <c r="M49" i="6"/>
  <c r="F49" i="6"/>
  <c r="AZ48" i="6"/>
  <c r="AY48" i="6"/>
  <c r="AX48" i="6"/>
  <c r="AW48" i="6"/>
  <c r="AU48" i="6"/>
  <c r="AT48" i="6"/>
  <c r="M48" i="6"/>
  <c r="F48" i="6"/>
  <c r="AZ47" i="6"/>
  <c r="AY47" i="6"/>
  <c r="AX47" i="6"/>
  <c r="AW47" i="6"/>
  <c r="AU47" i="6"/>
  <c r="AT47" i="6"/>
  <c r="M47" i="6"/>
  <c r="F47" i="6"/>
  <c r="AZ46" i="6"/>
  <c r="AY46" i="6"/>
  <c r="AX46" i="6"/>
  <c r="AW46" i="6"/>
  <c r="AU46" i="6"/>
  <c r="AT46" i="6"/>
  <c r="M46" i="6"/>
  <c r="F46" i="6"/>
  <c r="AZ45" i="6"/>
  <c r="AY45" i="6"/>
  <c r="AX45" i="6"/>
  <c r="AW45" i="6"/>
  <c r="AV45" i="6"/>
  <c r="AT45" i="6"/>
  <c r="F45" i="6"/>
  <c r="AZ44" i="6"/>
  <c r="AY44" i="6"/>
  <c r="AX44" i="6"/>
  <c r="AW44" i="6"/>
  <c r="AV44" i="6"/>
  <c r="AT44" i="6"/>
  <c r="M44" i="6"/>
  <c r="F44" i="6"/>
  <c r="AZ43" i="6"/>
  <c r="AY43" i="6"/>
  <c r="AX43" i="6"/>
  <c r="AW43" i="6"/>
  <c r="AV43" i="6"/>
  <c r="AT43" i="6"/>
  <c r="M43" i="6"/>
  <c r="F43" i="6"/>
  <c r="AZ42" i="6"/>
  <c r="AY42" i="6"/>
  <c r="AX42" i="6"/>
  <c r="AW42" i="6"/>
  <c r="AV42" i="6"/>
  <c r="AT42" i="6"/>
  <c r="M42" i="6"/>
  <c r="F42" i="6"/>
  <c r="AZ41" i="6"/>
  <c r="AY41" i="6"/>
  <c r="AX41" i="6"/>
  <c r="AW41" i="6"/>
  <c r="AV41" i="6"/>
  <c r="AT41" i="6"/>
  <c r="M41" i="6"/>
  <c r="F41" i="6"/>
  <c r="AZ40" i="6"/>
  <c r="AY40" i="6"/>
  <c r="AX40" i="6"/>
  <c r="AW40" i="6"/>
  <c r="AV40" i="6"/>
  <c r="AT40" i="6"/>
  <c r="M40" i="6"/>
  <c r="F40" i="6"/>
  <c r="AZ39" i="6"/>
  <c r="AY39" i="6"/>
  <c r="AX39" i="6"/>
  <c r="AW39" i="6"/>
  <c r="AV39" i="6"/>
  <c r="AT39" i="6"/>
  <c r="M39" i="6"/>
  <c r="F39" i="6"/>
  <c r="AZ38" i="6"/>
  <c r="AY38" i="6"/>
  <c r="AX38" i="6"/>
  <c r="AW38" i="6"/>
  <c r="AV38" i="6"/>
  <c r="AT38" i="6"/>
  <c r="M38" i="6"/>
  <c r="F38" i="6"/>
  <c r="AZ37" i="6"/>
  <c r="AY37" i="6"/>
  <c r="AX37" i="6"/>
  <c r="AW37" i="6"/>
  <c r="AV37" i="6"/>
  <c r="AT37" i="6"/>
  <c r="M37" i="6"/>
  <c r="F37" i="6"/>
  <c r="AZ36" i="6"/>
  <c r="AY36" i="6"/>
  <c r="AX36" i="6"/>
  <c r="AW36" i="6"/>
  <c r="AV36" i="6"/>
  <c r="AT36" i="6"/>
  <c r="M36" i="6"/>
  <c r="F36" i="6"/>
  <c r="AZ35" i="6"/>
  <c r="AY35" i="6"/>
  <c r="AX35" i="6"/>
  <c r="AW35" i="6"/>
  <c r="AV35" i="6"/>
  <c r="AT35" i="6"/>
  <c r="M35" i="6"/>
  <c r="F35" i="6"/>
  <c r="AZ34" i="6"/>
  <c r="AY34" i="6"/>
  <c r="AX34" i="6"/>
  <c r="AW34" i="6"/>
  <c r="AV34" i="6"/>
  <c r="AT34" i="6"/>
  <c r="M34" i="6"/>
  <c r="F34" i="6"/>
  <c r="AZ33" i="6"/>
  <c r="AY33" i="6"/>
  <c r="AX33" i="6"/>
  <c r="AW33" i="6"/>
  <c r="AV33" i="6"/>
  <c r="AT33" i="6"/>
  <c r="M33" i="6"/>
  <c r="F33" i="6"/>
  <c r="AZ32" i="6"/>
  <c r="AY32" i="6"/>
  <c r="AX32" i="6"/>
  <c r="AW32" i="6"/>
  <c r="AV32" i="6"/>
  <c r="AT32" i="6"/>
  <c r="M32" i="6"/>
  <c r="F32" i="6"/>
  <c r="AZ31" i="6"/>
  <c r="AY31" i="6"/>
  <c r="AX31" i="6"/>
  <c r="AW31" i="6"/>
  <c r="AV31" i="6"/>
  <c r="AU31" i="6"/>
  <c r="F31" i="6"/>
  <c r="AZ30" i="6"/>
  <c r="AY30" i="6"/>
  <c r="AX30" i="6"/>
  <c r="AW30" i="6"/>
  <c r="AV30" i="6"/>
  <c r="AU30" i="6"/>
  <c r="M30" i="6"/>
  <c r="F30" i="6"/>
  <c r="AZ29" i="6"/>
  <c r="AY29" i="6"/>
  <c r="AX29" i="6"/>
  <c r="AW29" i="6"/>
  <c r="AV29" i="6"/>
  <c r="AU29" i="6"/>
  <c r="M29" i="6"/>
  <c r="F29" i="6"/>
  <c r="AZ28" i="6"/>
  <c r="AY28" i="6"/>
  <c r="AX28" i="6"/>
  <c r="AW28" i="6"/>
  <c r="AV28" i="6"/>
  <c r="AU28" i="6"/>
  <c r="M28" i="6"/>
  <c r="F28" i="6"/>
  <c r="AZ27" i="6"/>
  <c r="AY27" i="6"/>
  <c r="AX27" i="6"/>
  <c r="AW27" i="6"/>
  <c r="AV27" i="6"/>
  <c r="AU27" i="6"/>
  <c r="M27" i="6"/>
  <c r="F27" i="6"/>
  <c r="AZ26" i="6"/>
  <c r="AY26" i="6"/>
  <c r="AX26" i="6"/>
  <c r="AW26" i="6"/>
  <c r="AV26" i="6"/>
  <c r="AU26" i="6"/>
  <c r="M26" i="6"/>
  <c r="F26" i="6"/>
  <c r="AZ25" i="6"/>
  <c r="AY25" i="6"/>
  <c r="AX25" i="6"/>
  <c r="AW25" i="6"/>
  <c r="AV25" i="6"/>
  <c r="AU25" i="6"/>
  <c r="M25" i="6"/>
  <c r="F25" i="6"/>
  <c r="AZ24" i="6"/>
  <c r="AY24" i="6"/>
  <c r="AX24" i="6"/>
  <c r="AW24" i="6"/>
  <c r="AV24" i="6"/>
  <c r="AU24" i="6"/>
  <c r="M24" i="6"/>
  <c r="F24" i="6"/>
  <c r="AZ23" i="6"/>
  <c r="AY23" i="6"/>
  <c r="AX23" i="6"/>
  <c r="AW23" i="6"/>
  <c r="AV23" i="6"/>
  <c r="AU23" i="6"/>
  <c r="M23" i="6"/>
  <c r="F23" i="6"/>
  <c r="AZ22" i="6"/>
  <c r="AY22" i="6"/>
  <c r="AX22" i="6"/>
  <c r="AW22" i="6"/>
  <c r="AV22" i="6"/>
  <c r="AU22" i="6"/>
  <c r="M22" i="6"/>
  <c r="F22" i="6"/>
  <c r="AZ21" i="6"/>
  <c r="AY21" i="6"/>
  <c r="AX21" i="6"/>
  <c r="AW21" i="6"/>
  <c r="AV21" i="6"/>
  <c r="AU21" i="6"/>
  <c r="M21" i="6"/>
  <c r="F21" i="6"/>
  <c r="AZ20" i="6"/>
  <c r="AY20" i="6"/>
  <c r="AX20" i="6"/>
  <c r="AW20" i="6"/>
  <c r="AV20" i="6"/>
  <c r="AU20" i="6"/>
  <c r="M20" i="6"/>
  <c r="F20" i="6"/>
  <c r="AZ19" i="6"/>
  <c r="AY19" i="6"/>
  <c r="AX19" i="6"/>
  <c r="AW19" i="6"/>
  <c r="AV19" i="6"/>
  <c r="AU19" i="6"/>
  <c r="M19" i="6"/>
  <c r="I19" i="6"/>
  <c r="F19" i="6"/>
  <c r="AZ18" i="6"/>
  <c r="AY18" i="6"/>
  <c r="AX18" i="6"/>
  <c r="AW18" i="6"/>
  <c r="AV18" i="6"/>
  <c r="AU18" i="6"/>
  <c r="AT18" i="6"/>
  <c r="M18" i="6"/>
  <c r="J18" i="6"/>
  <c r="F18" i="6"/>
  <c r="C16" i="6"/>
  <c r="Q15" i="6"/>
  <c r="Q14" i="6"/>
  <c r="N14" i="6"/>
  <c r="Q13" i="6"/>
  <c r="N13" i="6"/>
  <c r="Q12" i="6"/>
  <c r="N12" i="6"/>
  <c r="Q11" i="6"/>
  <c r="Q10" i="6"/>
  <c r="F10" i="6"/>
  <c r="Q9" i="6"/>
  <c r="F9" i="6"/>
  <c r="Q8" i="6"/>
  <c r="F8" i="6"/>
  <c r="Q7" i="6"/>
  <c r="Q6" i="6"/>
  <c r="Q5" i="6"/>
  <c r="Q4" i="6"/>
  <c r="Q3" i="6"/>
  <c r="T2" i="6"/>
  <c r="Q2" i="6"/>
  <c r="U4" i="3" a="1"/>
  <c r="U4" i="3" s="1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18" i="3"/>
  <c r="Q2" i="3"/>
  <c r="Q3" i="3"/>
  <c r="T2" i="3"/>
  <c r="Q4" i="3"/>
  <c r="Q5" i="3"/>
  <c r="Q6" i="3"/>
  <c r="Q7" i="3"/>
  <c r="Q8" i="3"/>
  <c r="Q9" i="3"/>
  <c r="Q10" i="3"/>
  <c r="Q11" i="3"/>
  <c r="Q12" i="3"/>
  <c r="Q13" i="3"/>
  <c r="Q14" i="3"/>
  <c r="Q15" i="3"/>
  <c r="C33" i="2"/>
  <c r="J13" i="2"/>
  <c r="O2" i="1"/>
  <c r="J11" i="2"/>
  <c r="H2" i="1"/>
  <c r="H5" i="1"/>
  <c r="H4" i="1"/>
  <c r="H3" i="1"/>
  <c r="J12" i="2"/>
  <c r="C16" i="3"/>
  <c r="R16" i="6" l="1"/>
  <c r="R16" i="3"/>
  <c r="N14" i="3"/>
  <c r="N13" i="3"/>
  <c r="N12" i="3"/>
  <c r="F10" i="3"/>
  <c r="F9" i="3"/>
  <c r="F8" i="3"/>
  <c r="K19" i="6" l="1"/>
  <c r="J19" i="6"/>
  <c r="F19" i="3"/>
  <c r="H19" i="3" s="1"/>
  <c r="F20" i="3"/>
  <c r="F21" i="3"/>
  <c r="F22" i="3"/>
  <c r="H22" i="3" s="1"/>
  <c r="F23" i="3"/>
  <c r="H23" i="3" s="1"/>
  <c r="F24" i="3"/>
  <c r="H24" i="3" s="1"/>
  <c r="F25" i="3"/>
  <c r="F26" i="3"/>
  <c r="F27" i="3"/>
  <c r="F28" i="3"/>
  <c r="F29" i="3"/>
  <c r="H29" i="3" s="1"/>
  <c r="F30" i="3"/>
  <c r="H30" i="3" s="1"/>
  <c r="F31" i="3"/>
  <c r="H31" i="3" s="1"/>
  <c r="F32" i="3"/>
  <c r="F33" i="3"/>
  <c r="F34" i="3"/>
  <c r="F35" i="3"/>
  <c r="F36" i="3"/>
  <c r="H36" i="3" s="1"/>
  <c r="F37" i="3"/>
  <c r="H37" i="3" s="1"/>
  <c r="F38" i="3"/>
  <c r="H38" i="3" s="1"/>
  <c r="F39" i="3"/>
  <c r="F40" i="3"/>
  <c r="F41" i="3"/>
  <c r="F42" i="3"/>
  <c r="F43" i="3"/>
  <c r="H43" i="3" s="1"/>
  <c r="F44" i="3"/>
  <c r="H44" i="3" s="1"/>
  <c r="F45" i="3"/>
  <c r="H45" i="3" s="1"/>
  <c r="F46" i="3"/>
  <c r="F47" i="3"/>
  <c r="F48" i="3"/>
  <c r="F49" i="3"/>
  <c r="F50" i="3"/>
  <c r="F51" i="3"/>
  <c r="H51" i="3" s="1"/>
  <c r="F52" i="3"/>
  <c r="H52" i="3" s="1"/>
  <c r="F53" i="3"/>
  <c r="F54" i="3"/>
  <c r="F55" i="3"/>
  <c r="F56" i="3"/>
  <c r="F57" i="3"/>
  <c r="F58" i="3"/>
  <c r="H58" i="3" s="1"/>
  <c r="F59" i="3"/>
  <c r="H59" i="3" s="1"/>
  <c r="F60" i="3"/>
  <c r="F61" i="3"/>
  <c r="F62" i="3"/>
  <c r="F63" i="3"/>
  <c r="F64" i="3"/>
  <c r="F65" i="3"/>
  <c r="H65" i="3" s="1"/>
  <c r="F66" i="3"/>
  <c r="H66" i="3" s="1"/>
  <c r="F67" i="3"/>
  <c r="F68" i="3"/>
  <c r="F69" i="3"/>
  <c r="F70" i="3"/>
  <c r="F71" i="3"/>
  <c r="F72" i="3"/>
  <c r="H72" i="3" s="1"/>
  <c r="F73" i="3"/>
  <c r="H73" i="3" s="1"/>
  <c r="F74" i="3"/>
  <c r="F75" i="3"/>
  <c r="F76" i="3"/>
  <c r="F77" i="3"/>
  <c r="F78" i="3"/>
  <c r="F79" i="3"/>
  <c r="F80" i="3"/>
  <c r="H80" i="3" s="1"/>
  <c r="F81" i="3"/>
  <c r="F82" i="3"/>
  <c r="F83" i="3"/>
  <c r="F84" i="3"/>
  <c r="F85" i="3"/>
  <c r="F86" i="3"/>
  <c r="F87" i="3"/>
  <c r="H87" i="3" s="1"/>
  <c r="F88" i="3"/>
  <c r="F89" i="3"/>
  <c r="F90" i="3"/>
  <c r="F91" i="3"/>
  <c r="F92" i="3"/>
  <c r="F93" i="3"/>
  <c r="H93" i="3" s="1"/>
  <c r="F94" i="3"/>
  <c r="H94" i="3" s="1"/>
  <c r="F95" i="3"/>
  <c r="F96" i="3"/>
  <c r="F97" i="3"/>
  <c r="F98" i="3"/>
  <c r="F99" i="3"/>
  <c r="F100" i="3"/>
  <c r="H100" i="3" s="1"/>
  <c r="F101" i="3"/>
  <c r="H101" i="3" s="1"/>
  <c r="F102" i="3"/>
  <c r="F103" i="3"/>
  <c r="F104" i="3"/>
  <c r="F105" i="3"/>
  <c r="F106" i="3"/>
  <c r="F107" i="3"/>
  <c r="H107" i="3" s="1"/>
  <c r="F108" i="3"/>
  <c r="H108" i="3" s="1"/>
  <c r="F109" i="3"/>
  <c r="F110" i="3"/>
  <c r="F111" i="3"/>
  <c r="F112" i="3"/>
  <c r="F113" i="3"/>
  <c r="F114" i="3"/>
  <c r="H114" i="3" s="1"/>
  <c r="F115" i="3"/>
  <c r="H115" i="3" s="1"/>
  <c r="F116" i="3"/>
  <c r="F117" i="3"/>
  <c r="F118" i="3"/>
  <c r="F119" i="3"/>
  <c r="F120" i="3"/>
  <c r="F121" i="3"/>
  <c r="F122" i="3"/>
  <c r="H122" i="3" s="1"/>
  <c r="F123" i="3"/>
  <c r="F124" i="3"/>
  <c r="F125" i="3"/>
  <c r="F126" i="3"/>
  <c r="F127" i="3"/>
  <c r="F128" i="3"/>
  <c r="F129" i="3"/>
  <c r="H129" i="3" s="1"/>
  <c r="F130" i="3"/>
  <c r="F131" i="3"/>
  <c r="F132" i="3"/>
  <c r="F133" i="3"/>
  <c r="F134" i="3"/>
  <c r="F135" i="3"/>
  <c r="F136" i="3"/>
  <c r="H136" i="3" s="1"/>
  <c r="F137" i="3"/>
  <c r="F138" i="3"/>
  <c r="F139" i="3"/>
  <c r="F140" i="3"/>
  <c r="F141" i="3"/>
  <c r="F142" i="3"/>
  <c r="F143" i="3"/>
  <c r="H143" i="3" s="1"/>
  <c r="F144" i="3"/>
  <c r="F145" i="3"/>
  <c r="F146" i="3"/>
  <c r="F147" i="3"/>
  <c r="F148" i="3"/>
  <c r="F149" i="3"/>
  <c r="F150" i="3"/>
  <c r="H150" i="3" s="1"/>
  <c r="F151" i="3"/>
  <c r="F152" i="3"/>
  <c r="F153" i="3"/>
  <c r="F154" i="3"/>
  <c r="F155" i="3"/>
  <c r="F156" i="3"/>
  <c r="F157" i="3"/>
  <c r="H157" i="3" s="1"/>
  <c r="F158" i="3"/>
  <c r="F159" i="3"/>
  <c r="F160" i="3"/>
  <c r="F161" i="3"/>
  <c r="F162" i="3"/>
  <c r="F163" i="3"/>
  <c r="H163" i="3" s="1"/>
  <c r="F164" i="3"/>
  <c r="H164" i="3" s="1"/>
  <c r="F165" i="3"/>
  <c r="F166" i="3"/>
  <c r="F167" i="3"/>
  <c r="F168" i="3"/>
  <c r="F169" i="3"/>
  <c r="F170" i="3"/>
  <c r="H170" i="3" s="1"/>
  <c r="F171" i="3"/>
  <c r="H171" i="3" s="1"/>
  <c r="F172" i="3"/>
  <c r="F173" i="3"/>
  <c r="F174" i="3"/>
  <c r="F175" i="3"/>
  <c r="F176" i="3"/>
  <c r="F177" i="3"/>
  <c r="H177" i="3" s="1"/>
  <c r="F178" i="3"/>
  <c r="H178" i="3" s="1"/>
  <c r="F179" i="3"/>
  <c r="F180" i="3"/>
  <c r="F181" i="3"/>
  <c r="F182" i="3"/>
  <c r="F183" i="3"/>
  <c r="F184" i="3"/>
  <c r="H184" i="3" s="1"/>
  <c r="F185" i="3"/>
  <c r="H185" i="3" s="1"/>
  <c r="F186" i="3"/>
  <c r="F187" i="3"/>
  <c r="F188" i="3"/>
  <c r="F189" i="3"/>
  <c r="F190" i="3"/>
  <c r="F191" i="3"/>
  <c r="F192" i="3"/>
  <c r="H192" i="3" s="1"/>
  <c r="F193" i="3"/>
  <c r="F194" i="3"/>
  <c r="F195" i="3"/>
  <c r="F196" i="3"/>
  <c r="F197" i="3"/>
  <c r="F198" i="3"/>
  <c r="F199" i="3"/>
  <c r="H199" i="3" s="1"/>
  <c r="F200" i="3"/>
  <c r="F201" i="3"/>
  <c r="F202" i="3"/>
  <c r="F203" i="3"/>
  <c r="F204" i="3"/>
  <c r="F205" i="3"/>
  <c r="F206" i="3"/>
  <c r="H206" i="3" s="1"/>
  <c r="F207" i="3"/>
  <c r="F208" i="3"/>
  <c r="F209" i="3"/>
  <c r="F210" i="3"/>
  <c r="F211" i="3"/>
  <c r="F212" i="3"/>
  <c r="F213" i="3"/>
  <c r="H213" i="3" s="1"/>
  <c r="F18" i="3"/>
  <c r="AY213" i="3"/>
  <c r="AX213" i="3"/>
  <c r="AW213" i="3"/>
  <c r="AV213" i="3"/>
  <c r="AU213" i="3"/>
  <c r="AT213" i="3"/>
  <c r="AY212" i="3"/>
  <c r="AX212" i="3"/>
  <c r="AW212" i="3"/>
  <c r="AV212" i="3"/>
  <c r="AU212" i="3"/>
  <c r="AT212" i="3"/>
  <c r="M212" i="3"/>
  <c r="AY211" i="3"/>
  <c r="AX211" i="3"/>
  <c r="AW211" i="3"/>
  <c r="AV211" i="3"/>
  <c r="AU211" i="3"/>
  <c r="AT211" i="3"/>
  <c r="M211" i="3"/>
  <c r="AY210" i="3"/>
  <c r="AX210" i="3"/>
  <c r="AW210" i="3"/>
  <c r="AV210" i="3"/>
  <c r="AU210" i="3"/>
  <c r="AT210" i="3"/>
  <c r="M210" i="3"/>
  <c r="AY209" i="3"/>
  <c r="AX209" i="3"/>
  <c r="AW209" i="3"/>
  <c r="AV209" i="3"/>
  <c r="AU209" i="3"/>
  <c r="AT209" i="3"/>
  <c r="M209" i="3"/>
  <c r="AY208" i="3"/>
  <c r="AX208" i="3"/>
  <c r="AW208" i="3"/>
  <c r="AV208" i="3"/>
  <c r="AU208" i="3"/>
  <c r="AT208" i="3"/>
  <c r="M208" i="3"/>
  <c r="AY207" i="3"/>
  <c r="AX207" i="3"/>
  <c r="AW207" i="3"/>
  <c r="AV207" i="3"/>
  <c r="AU207" i="3"/>
  <c r="AT207" i="3"/>
  <c r="M207" i="3"/>
  <c r="AY206" i="3"/>
  <c r="AX206" i="3"/>
  <c r="AW206" i="3"/>
  <c r="AV206" i="3"/>
  <c r="AU206" i="3"/>
  <c r="AT206" i="3"/>
  <c r="M206" i="3"/>
  <c r="AY205" i="3"/>
  <c r="AX205" i="3"/>
  <c r="AW205" i="3"/>
  <c r="AV205" i="3"/>
  <c r="AU205" i="3"/>
  <c r="AT205" i="3"/>
  <c r="M205" i="3"/>
  <c r="AY204" i="3"/>
  <c r="AX204" i="3"/>
  <c r="AW204" i="3"/>
  <c r="AV204" i="3"/>
  <c r="AU204" i="3"/>
  <c r="AT204" i="3"/>
  <c r="M204" i="3"/>
  <c r="AY203" i="3"/>
  <c r="AX203" i="3"/>
  <c r="AW203" i="3"/>
  <c r="AV203" i="3"/>
  <c r="AU203" i="3"/>
  <c r="AT203" i="3"/>
  <c r="M203" i="3"/>
  <c r="AY202" i="3"/>
  <c r="AX202" i="3"/>
  <c r="AW202" i="3"/>
  <c r="AV202" i="3"/>
  <c r="AU202" i="3"/>
  <c r="AT202" i="3"/>
  <c r="M202" i="3"/>
  <c r="AY201" i="3"/>
  <c r="AX201" i="3"/>
  <c r="AW201" i="3"/>
  <c r="AV201" i="3"/>
  <c r="AU201" i="3"/>
  <c r="AT201" i="3"/>
  <c r="M201" i="3"/>
  <c r="AY200" i="3"/>
  <c r="AX200" i="3"/>
  <c r="AW200" i="3"/>
  <c r="AV200" i="3"/>
  <c r="AU200" i="3"/>
  <c r="AT200" i="3"/>
  <c r="M200" i="3"/>
  <c r="AY199" i="3"/>
  <c r="AX199" i="3"/>
  <c r="AW199" i="3"/>
  <c r="AV199" i="3"/>
  <c r="AU199" i="3"/>
  <c r="AT199" i="3"/>
  <c r="AY198" i="3"/>
  <c r="AX198" i="3"/>
  <c r="AW198" i="3"/>
  <c r="AV198" i="3"/>
  <c r="AU198" i="3"/>
  <c r="AT198" i="3"/>
  <c r="M198" i="3"/>
  <c r="AY197" i="3"/>
  <c r="AX197" i="3"/>
  <c r="AW197" i="3"/>
  <c r="AV197" i="3"/>
  <c r="AU197" i="3"/>
  <c r="AT197" i="3"/>
  <c r="M197" i="3"/>
  <c r="AY196" i="3"/>
  <c r="AX196" i="3"/>
  <c r="AW196" i="3"/>
  <c r="AV196" i="3"/>
  <c r="AU196" i="3"/>
  <c r="AT196" i="3"/>
  <c r="M196" i="3"/>
  <c r="AY195" i="3"/>
  <c r="AX195" i="3"/>
  <c r="AW195" i="3"/>
  <c r="AV195" i="3"/>
  <c r="AU195" i="3"/>
  <c r="AT195" i="3"/>
  <c r="M195" i="3"/>
  <c r="AY194" i="3"/>
  <c r="AX194" i="3"/>
  <c r="AW194" i="3"/>
  <c r="AV194" i="3"/>
  <c r="AU194" i="3"/>
  <c r="AT194" i="3"/>
  <c r="M194" i="3"/>
  <c r="AY193" i="3"/>
  <c r="AX193" i="3"/>
  <c r="AW193" i="3"/>
  <c r="AV193" i="3"/>
  <c r="AU193" i="3"/>
  <c r="AT193" i="3"/>
  <c r="M193" i="3"/>
  <c r="AY192" i="3"/>
  <c r="AX192" i="3"/>
  <c r="AW192" i="3"/>
  <c r="AV192" i="3"/>
  <c r="AU192" i="3"/>
  <c r="AT192" i="3"/>
  <c r="M192" i="3"/>
  <c r="AY191" i="3"/>
  <c r="AX191" i="3"/>
  <c r="AW191" i="3"/>
  <c r="AV191" i="3"/>
  <c r="AU191" i="3"/>
  <c r="AT191" i="3"/>
  <c r="M191" i="3"/>
  <c r="AY190" i="3"/>
  <c r="AX190" i="3"/>
  <c r="AW190" i="3"/>
  <c r="AV190" i="3"/>
  <c r="AU190" i="3"/>
  <c r="AT190" i="3"/>
  <c r="M190" i="3"/>
  <c r="AY189" i="3"/>
  <c r="AX189" i="3"/>
  <c r="AW189" i="3"/>
  <c r="AV189" i="3"/>
  <c r="AU189" i="3"/>
  <c r="AT189" i="3"/>
  <c r="M189" i="3"/>
  <c r="AY188" i="3"/>
  <c r="AX188" i="3"/>
  <c r="AW188" i="3"/>
  <c r="AV188" i="3"/>
  <c r="AU188" i="3"/>
  <c r="AT188" i="3"/>
  <c r="M188" i="3"/>
  <c r="AY187" i="3"/>
  <c r="AX187" i="3"/>
  <c r="AW187" i="3"/>
  <c r="AV187" i="3"/>
  <c r="AU187" i="3"/>
  <c r="AT187" i="3"/>
  <c r="M187" i="3"/>
  <c r="AY186" i="3"/>
  <c r="AX186" i="3"/>
  <c r="AW186" i="3"/>
  <c r="AV186" i="3"/>
  <c r="AU186" i="3"/>
  <c r="AT186" i="3"/>
  <c r="M186" i="3"/>
  <c r="AZ185" i="3"/>
  <c r="AX185" i="3"/>
  <c r="AW185" i="3"/>
  <c r="AV185" i="3"/>
  <c r="AU185" i="3"/>
  <c r="AT185" i="3"/>
  <c r="AZ184" i="3"/>
  <c r="AX184" i="3"/>
  <c r="AW184" i="3"/>
  <c r="AV184" i="3"/>
  <c r="AU184" i="3"/>
  <c r="AT184" i="3"/>
  <c r="M184" i="3"/>
  <c r="AZ183" i="3"/>
  <c r="AX183" i="3"/>
  <c r="AW183" i="3"/>
  <c r="AV183" i="3"/>
  <c r="AU183" i="3"/>
  <c r="AT183" i="3"/>
  <c r="M183" i="3"/>
  <c r="AZ182" i="3"/>
  <c r="AX182" i="3"/>
  <c r="AW182" i="3"/>
  <c r="AV182" i="3"/>
  <c r="AU182" i="3"/>
  <c r="AT182" i="3"/>
  <c r="M182" i="3"/>
  <c r="AZ181" i="3"/>
  <c r="AX181" i="3"/>
  <c r="AW181" i="3"/>
  <c r="AV181" i="3"/>
  <c r="AU181" i="3"/>
  <c r="AT181" i="3"/>
  <c r="M181" i="3"/>
  <c r="AZ180" i="3"/>
  <c r="AX180" i="3"/>
  <c r="AW180" i="3"/>
  <c r="AV180" i="3"/>
  <c r="AU180" i="3"/>
  <c r="AT180" i="3"/>
  <c r="M180" i="3"/>
  <c r="AZ179" i="3"/>
  <c r="AX179" i="3"/>
  <c r="AW179" i="3"/>
  <c r="AV179" i="3"/>
  <c r="AU179" i="3"/>
  <c r="AT179" i="3"/>
  <c r="M179" i="3"/>
  <c r="AZ178" i="3"/>
  <c r="AX178" i="3"/>
  <c r="AW178" i="3"/>
  <c r="AV178" i="3"/>
  <c r="AU178" i="3"/>
  <c r="AT178" i="3"/>
  <c r="M178" i="3"/>
  <c r="AZ177" i="3"/>
  <c r="AX177" i="3"/>
  <c r="AW177" i="3"/>
  <c r="AV177" i="3"/>
  <c r="AU177" i="3"/>
  <c r="AT177" i="3"/>
  <c r="M177" i="3"/>
  <c r="AZ176" i="3"/>
  <c r="AX176" i="3"/>
  <c r="AW176" i="3"/>
  <c r="AV176" i="3"/>
  <c r="AU176" i="3"/>
  <c r="AT176" i="3"/>
  <c r="M176" i="3"/>
  <c r="AZ175" i="3"/>
  <c r="AX175" i="3"/>
  <c r="AW175" i="3"/>
  <c r="AV175" i="3"/>
  <c r="AU175" i="3"/>
  <c r="AT175" i="3"/>
  <c r="M175" i="3"/>
  <c r="AZ174" i="3"/>
  <c r="AX174" i="3"/>
  <c r="AW174" i="3"/>
  <c r="AV174" i="3"/>
  <c r="AU174" i="3"/>
  <c r="AT174" i="3"/>
  <c r="M174" i="3"/>
  <c r="AZ173" i="3"/>
  <c r="AX173" i="3"/>
  <c r="AW173" i="3"/>
  <c r="AV173" i="3"/>
  <c r="AU173" i="3"/>
  <c r="AT173" i="3"/>
  <c r="M173" i="3"/>
  <c r="AZ172" i="3"/>
  <c r="AX172" i="3"/>
  <c r="AW172" i="3"/>
  <c r="AV172" i="3"/>
  <c r="AU172" i="3"/>
  <c r="AT172" i="3"/>
  <c r="M172" i="3"/>
  <c r="AZ171" i="3"/>
  <c r="AX171" i="3"/>
  <c r="AW171" i="3"/>
  <c r="AV171" i="3"/>
  <c r="AU171" i="3"/>
  <c r="AT171" i="3"/>
  <c r="AZ170" i="3"/>
  <c r="AX170" i="3"/>
  <c r="AW170" i="3"/>
  <c r="AV170" i="3"/>
  <c r="AU170" i="3"/>
  <c r="AT170" i="3"/>
  <c r="M170" i="3"/>
  <c r="AZ169" i="3"/>
  <c r="AX169" i="3"/>
  <c r="AW169" i="3"/>
  <c r="AV169" i="3"/>
  <c r="AU169" i="3"/>
  <c r="AT169" i="3"/>
  <c r="M169" i="3"/>
  <c r="AZ168" i="3"/>
  <c r="AX168" i="3"/>
  <c r="AW168" i="3"/>
  <c r="AV168" i="3"/>
  <c r="AU168" i="3"/>
  <c r="AT168" i="3"/>
  <c r="M168" i="3"/>
  <c r="AZ167" i="3"/>
  <c r="AX167" i="3"/>
  <c r="AW167" i="3"/>
  <c r="AV167" i="3"/>
  <c r="AU167" i="3"/>
  <c r="AT167" i="3"/>
  <c r="M167" i="3"/>
  <c r="AZ166" i="3"/>
  <c r="AX166" i="3"/>
  <c r="AW166" i="3"/>
  <c r="AV166" i="3"/>
  <c r="AU166" i="3"/>
  <c r="AT166" i="3"/>
  <c r="M166" i="3"/>
  <c r="AZ165" i="3"/>
  <c r="AX165" i="3"/>
  <c r="AW165" i="3"/>
  <c r="AV165" i="3"/>
  <c r="AU165" i="3"/>
  <c r="AT165" i="3"/>
  <c r="M165" i="3"/>
  <c r="AZ164" i="3"/>
  <c r="AX164" i="3"/>
  <c r="AW164" i="3"/>
  <c r="AV164" i="3"/>
  <c r="AU164" i="3"/>
  <c r="AT164" i="3"/>
  <c r="M164" i="3"/>
  <c r="AZ163" i="3"/>
  <c r="AX163" i="3"/>
  <c r="AW163" i="3"/>
  <c r="AV163" i="3"/>
  <c r="AU163" i="3"/>
  <c r="AT163" i="3"/>
  <c r="M163" i="3"/>
  <c r="AZ162" i="3"/>
  <c r="AX162" i="3"/>
  <c r="AW162" i="3"/>
  <c r="AV162" i="3"/>
  <c r="AU162" i="3"/>
  <c r="AT162" i="3"/>
  <c r="M162" i="3"/>
  <c r="AZ161" i="3"/>
  <c r="AX161" i="3"/>
  <c r="AW161" i="3"/>
  <c r="AV161" i="3"/>
  <c r="AU161" i="3"/>
  <c r="AT161" i="3"/>
  <c r="M161" i="3"/>
  <c r="AZ160" i="3"/>
  <c r="AX160" i="3"/>
  <c r="AW160" i="3"/>
  <c r="AV160" i="3"/>
  <c r="AU160" i="3"/>
  <c r="AT160" i="3"/>
  <c r="M160" i="3"/>
  <c r="AZ159" i="3"/>
  <c r="AX159" i="3"/>
  <c r="AW159" i="3"/>
  <c r="AV159" i="3"/>
  <c r="AU159" i="3"/>
  <c r="AT159" i="3"/>
  <c r="M159" i="3"/>
  <c r="AZ158" i="3"/>
  <c r="AX158" i="3"/>
  <c r="AW158" i="3"/>
  <c r="AV158" i="3"/>
  <c r="AU158" i="3"/>
  <c r="AT158" i="3"/>
  <c r="M158" i="3"/>
  <c r="AZ157" i="3"/>
  <c r="AY157" i="3"/>
  <c r="AW157" i="3"/>
  <c r="AV157" i="3"/>
  <c r="AU157" i="3"/>
  <c r="AT157" i="3"/>
  <c r="AZ156" i="3"/>
  <c r="AY156" i="3"/>
  <c r="AW156" i="3"/>
  <c r="AV156" i="3"/>
  <c r="AU156" i="3"/>
  <c r="AT156" i="3"/>
  <c r="M156" i="3"/>
  <c r="AZ155" i="3"/>
  <c r="AY155" i="3"/>
  <c r="AW155" i="3"/>
  <c r="AV155" i="3"/>
  <c r="AU155" i="3"/>
  <c r="AT155" i="3"/>
  <c r="M155" i="3"/>
  <c r="AZ154" i="3"/>
  <c r="AY154" i="3"/>
  <c r="AW154" i="3"/>
  <c r="AV154" i="3"/>
  <c r="AU154" i="3"/>
  <c r="AT154" i="3"/>
  <c r="M154" i="3"/>
  <c r="AZ153" i="3"/>
  <c r="AY153" i="3"/>
  <c r="AW153" i="3"/>
  <c r="AV153" i="3"/>
  <c r="AU153" i="3"/>
  <c r="AT153" i="3"/>
  <c r="M153" i="3"/>
  <c r="AZ152" i="3"/>
  <c r="AY152" i="3"/>
  <c r="AW152" i="3"/>
  <c r="AV152" i="3"/>
  <c r="AU152" i="3"/>
  <c r="AT152" i="3"/>
  <c r="M152" i="3"/>
  <c r="AZ151" i="3"/>
  <c r="AY151" i="3"/>
  <c r="AW151" i="3"/>
  <c r="AV151" i="3"/>
  <c r="AU151" i="3"/>
  <c r="AT151" i="3"/>
  <c r="M151" i="3"/>
  <c r="AZ150" i="3"/>
  <c r="AY150" i="3"/>
  <c r="AW150" i="3"/>
  <c r="AV150" i="3"/>
  <c r="AU150" i="3"/>
  <c r="AT150" i="3"/>
  <c r="M150" i="3"/>
  <c r="AZ149" i="3"/>
  <c r="AY149" i="3"/>
  <c r="AW149" i="3"/>
  <c r="AV149" i="3"/>
  <c r="AU149" i="3"/>
  <c r="AT149" i="3"/>
  <c r="M149" i="3"/>
  <c r="AZ148" i="3"/>
  <c r="AY148" i="3"/>
  <c r="AW148" i="3"/>
  <c r="AV148" i="3"/>
  <c r="AU148" i="3"/>
  <c r="AT148" i="3"/>
  <c r="M148" i="3"/>
  <c r="AZ147" i="3"/>
  <c r="AY147" i="3"/>
  <c r="AW147" i="3"/>
  <c r="AV147" i="3"/>
  <c r="AU147" i="3"/>
  <c r="AT147" i="3"/>
  <c r="M147" i="3"/>
  <c r="AZ146" i="3"/>
  <c r="AY146" i="3"/>
  <c r="AW146" i="3"/>
  <c r="AV146" i="3"/>
  <c r="AU146" i="3"/>
  <c r="AT146" i="3"/>
  <c r="M146" i="3"/>
  <c r="AZ145" i="3"/>
  <c r="AY145" i="3"/>
  <c r="AW145" i="3"/>
  <c r="AV145" i="3"/>
  <c r="AU145" i="3"/>
  <c r="AT145" i="3"/>
  <c r="M145" i="3"/>
  <c r="AZ144" i="3"/>
  <c r="AY144" i="3"/>
  <c r="AW144" i="3"/>
  <c r="AV144" i="3"/>
  <c r="AU144" i="3"/>
  <c r="AT144" i="3"/>
  <c r="M144" i="3"/>
  <c r="AZ143" i="3"/>
  <c r="AY143" i="3"/>
  <c r="AW143" i="3"/>
  <c r="AV143" i="3"/>
  <c r="AU143" i="3"/>
  <c r="AT143" i="3"/>
  <c r="AZ142" i="3"/>
  <c r="AY142" i="3"/>
  <c r="AW142" i="3"/>
  <c r="AV142" i="3"/>
  <c r="AU142" i="3"/>
  <c r="AT142" i="3"/>
  <c r="M142" i="3"/>
  <c r="AZ141" i="3"/>
  <c r="AY141" i="3"/>
  <c r="AW141" i="3"/>
  <c r="AV141" i="3"/>
  <c r="AU141" i="3"/>
  <c r="AT141" i="3"/>
  <c r="M141" i="3"/>
  <c r="AZ140" i="3"/>
  <c r="AY140" i="3"/>
  <c r="AW140" i="3"/>
  <c r="AV140" i="3"/>
  <c r="AU140" i="3"/>
  <c r="AT140" i="3"/>
  <c r="M140" i="3"/>
  <c r="AZ139" i="3"/>
  <c r="AY139" i="3"/>
  <c r="AW139" i="3"/>
  <c r="AV139" i="3"/>
  <c r="AU139" i="3"/>
  <c r="AT139" i="3"/>
  <c r="M139" i="3"/>
  <c r="AZ138" i="3"/>
  <c r="AY138" i="3"/>
  <c r="AW138" i="3"/>
  <c r="AV138" i="3"/>
  <c r="AU138" i="3"/>
  <c r="AT138" i="3"/>
  <c r="M138" i="3"/>
  <c r="AZ137" i="3"/>
  <c r="AY137" i="3"/>
  <c r="AW137" i="3"/>
  <c r="AV137" i="3"/>
  <c r="AU137" i="3"/>
  <c r="AT137" i="3"/>
  <c r="M137" i="3"/>
  <c r="AZ136" i="3"/>
  <c r="AY136" i="3"/>
  <c r="AW136" i="3"/>
  <c r="AV136" i="3"/>
  <c r="AU136" i="3"/>
  <c r="AT136" i="3"/>
  <c r="M136" i="3"/>
  <c r="AZ135" i="3"/>
  <c r="AY135" i="3"/>
  <c r="AW135" i="3"/>
  <c r="AV135" i="3"/>
  <c r="AU135" i="3"/>
  <c r="AT135" i="3"/>
  <c r="M135" i="3"/>
  <c r="AZ134" i="3"/>
  <c r="AY134" i="3"/>
  <c r="AW134" i="3"/>
  <c r="AV134" i="3"/>
  <c r="AU134" i="3"/>
  <c r="AT134" i="3"/>
  <c r="M134" i="3"/>
  <c r="AZ133" i="3"/>
  <c r="AY133" i="3"/>
  <c r="AW133" i="3"/>
  <c r="AV133" i="3"/>
  <c r="AU133" i="3"/>
  <c r="AT133" i="3"/>
  <c r="M133" i="3"/>
  <c r="AZ132" i="3"/>
  <c r="AY132" i="3"/>
  <c r="AW132" i="3"/>
  <c r="AV132" i="3"/>
  <c r="AU132" i="3"/>
  <c r="AT132" i="3"/>
  <c r="M132" i="3"/>
  <c r="AZ131" i="3"/>
  <c r="AY131" i="3"/>
  <c r="AW131" i="3"/>
  <c r="AV131" i="3"/>
  <c r="AU131" i="3"/>
  <c r="AT131" i="3"/>
  <c r="M131" i="3"/>
  <c r="AZ130" i="3"/>
  <c r="AY130" i="3"/>
  <c r="AW130" i="3"/>
  <c r="AV130" i="3"/>
  <c r="AU130" i="3"/>
  <c r="AT130" i="3"/>
  <c r="M130" i="3"/>
  <c r="AZ129" i="3"/>
  <c r="AY129" i="3"/>
  <c r="AX129" i="3"/>
  <c r="AV129" i="3"/>
  <c r="AU129" i="3"/>
  <c r="AT129" i="3"/>
  <c r="AZ128" i="3"/>
  <c r="AY128" i="3"/>
  <c r="AX128" i="3"/>
  <c r="AV128" i="3"/>
  <c r="AU128" i="3"/>
  <c r="AT128" i="3"/>
  <c r="M128" i="3"/>
  <c r="AZ127" i="3"/>
  <c r="AY127" i="3"/>
  <c r="AX127" i="3"/>
  <c r="AV127" i="3"/>
  <c r="AU127" i="3"/>
  <c r="AT127" i="3"/>
  <c r="M127" i="3"/>
  <c r="AZ126" i="3"/>
  <c r="AY126" i="3"/>
  <c r="AX126" i="3"/>
  <c r="AV126" i="3"/>
  <c r="AU126" i="3"/>
  <c r="AT126" i="3"/>
  <c r="M126" i="3"/>
  <c r="AZ125" i="3"/>
  <c r="AY125" i="3"/>
  <c r="AX125" i="3"/>
  <c r="AV125" i="3"/>
  <c r="AU125" i="3"/>
  <c r="AT125" i="3"/>
  <c r="M125" i="3"/>
  <c r="AZ124" i="3"/>
  <c r="AY124" i="3"/>
  <c r="AX124" i="3"/>
  <c r="AV124" i="3"/>
  <c r="AU124" i="3"/>
  <c r="AT124" i="3"/>
  <c r="M124" i="3"/>
  <c r="AZ123" i="3"/>
  <c r="AY123" i="3"/>
  <c r="AX123" i="3"/>
  <c r="AV123" i="3"/>
  <c r="AU123" i="3"/>
  <c r="AT123" i="3"/>
  <c r="M123" i="3"/>
  <c r="AZ122" i="3"/>
  <c r="AY122" i="3"/>
  <c r="AX122" i="3"/>
  <c r="AV122" i="3"/>
  <c r="AU122" i="3"/>
  <c r="AT122" i="3"/>
  <c r="M122" i="3"/>
  <c r="AZ121" i="3"/>
  <c r="AY121" i="3"/>
  <c r="AX121" i="3"/>
  <c r="AV121" i="3"/>
  <c r="AU121" i="3"/>
  <c r="AT121" i="3"/>
  <c r="M121" i="3"/>
  <c r="AZ120" i="3"/>
  <c r="AY120" i="3"/>
  <c r="AX120" i="3"/>
  <c r="AV120" i="3"/>
  <c r="AU120" i="3"/>
  <c r="AT120" i="3"/>
  <c r="M120" i="3"/>
  <c r="AZ119" i="3"/>
  <c r="AY119" i="3"/>
  <c r="AX119" i="3"/>
  <c r="AV119" i="3"/>
  <c r="AU119" i="3"/>
  <c r="AT119" i="3"/>
  <c r="M119" i="3"/>
  <c r="AZ118" i="3"/>
  <c r="AY118" i="3"/>
  <c r="AX118" i="3"/>
  <c r="AV118" i="3"/>
  <c r="AU118" i="3"/>
  <c r="AT118" i="3"/>
  <c r="M118" i="3"/>
  <c r="AZ117" i="3"/>
  <c r="AY117" i="3"/>
  <c r="AX117" i="3"/>
  <c r="AV117" i="3"/>
  <c r="AU117" i="3"/>
  <c r="AT117" i="3"/>
  <c r="M117" i="3"/>
  <c r="AZ116" i="3"/>
  <c r="AY116" i="3"/>
  <c r="AX116" i="3"/>
  <c r="AV116" i="3"/>
  <c r="AU116" i="3"/>
  <c r="AT116" i="3"/>
  <c r="M116" i="3"/>
  <c r="AY115" i="3"/>
  <c r="AX115" i="3"/>
  <c r="AV115" i="3"/>
  <c r="AU115" i="3"/>
  <c r="AT115" i="3"/>
  <c r="AY114" i="3"/>
  <c r="AX114" i="3"/>
  <c r="AV114" i="3"/>
  <c r="AU114" i="3"/>
  <c r="AT114" i="3"/>
  <c r="M114" i="3"/>
  <c r="AY113" i="3"/>
  <c r="AX113" i="3"/>
  <c r="AV113" i="3"/>
  <c r="AU113" i="3"/>
  <c r="AT113" i="3"/>
  <c r="M113" i="3"/>
  <c r="AY112" i="3"/>
  <c r="AX112" i="3"/>
  <c r="AV112" i="3"/>
  <c r="AU112" i="3"/>
  <c r="AT112" i="3"/>
  <c r="M112" i="3"/>
  <c r="AY111" i="3"/>
  <c r="AX111" i="3"/>
  <c r="AV111" i="3"/>
  <c r="AU111" i="3"/>
  <c r="AT111" i="3"/>
  <c r="M111" i="3"/>
  <c r="AY110" i="3"/>
  <c r="AX110" i="3"/>
  <c r="AV110" i="3"/>
  <c r="AU110" i="3"/>
  <c r="AT110" i="3"/>
  <c r="M110" i="3"/>
  <c r="AY109" i="3"/>
  <c r="AX109" i="3"/>
  <c r="AV109" i="3"/>
  <c r="AU109" i="3"/>
  <c r="AT109" i="3"/>
  <c r="M109" i="3"/>
  <c r="AY108" i="3"/>
  <c r="AX108" i="3"/>
  <c r="AV108" i="3"/>
  <c r="AU108" i="3"/>
  <c r="AT108" i="3"/>
  <c r="M108" i="3"/>
  <c r="AY107" i="3"/>
  <c r="AX107" i="3"/>
  <c r="AV107" i="3"/>
  <c r="AU107" i="3"/>
  <c r="AT107" i="3"/>
  <c r="M107" i="3"/>
  <c r="AY106" i="3"/>
  <c r="AX106" i="3"/>
  <c r="AV106" i="3"/>
  <c r="AU106" i="3"/>
  <c r="AT106" i="3"/>
  <c r="M106" i="3"/>
  <c r="AY105" i="3"/>
  <c r="AX105" i="3"/>
  <c r="AV105" i="3"/>
  <c r="AU105" i="3"/>
  <c r="AT105" i="3"/>
  <c r="M105" i="3"/>
  <c r="AY104" i="3"/>
  <c r="AX104" i="3"/>
  <c r="AV104" i="3"/>
  <c r="AU104" i="3"/>
  <c r="AT104" i="3"/>
  <c r="M104" i="3"/>
  <c r="AY103" i="3"/>
  <c r="AX103" i="3"/>
  <c r="AV103" i="3"/>
  <c r="AU103" i="3"/>
  <c r="AT103" i="3"/>
  <c r="M103" i="3"/>
  <c r="AY102" i="3"/>
  <c r="AX102" i="3"/>
  <c r="AV102" i="3"/>
  <c r="AU102" i="3"/>
  <c r="AT102" i="3"/>
  <c r="M102" i="3"/>
  <c r="AZ101" i="3"/>
  <c r="AX101" i="3"/>
  <c r="AW101" i="3"/>
  <c r="AU101" i="3"/>
  <c r="AT101" i="3"/>
  <c r="AZ100" i="3"/>
  <c r="AX100" i="3"/>
  <c r="AW100" i="3"/>
  <c r="AU100" i="3"/>
  <c r="AT100" i="3"/>
  <c r="M100" i="3"/>
  <c r="AZ99" i="3"/>
  <c r="AX99" i="3"/>
  <c r="AW99" i="3"/>
  <c r="AU99" i="3"/>
  <c r="AT99" i="3"/>
  <c r="M99" i="3"/>
  <c r="AZ98" i="3"/>
  <c r="AX98" i="3"/>
  <c r="AW98" i="3"/>
  <c r="AU98" i="3"/>
  <c r="AT98" i="3"/>
  <c r="M98" i="3"/>
  <c r="AZ97" i="3"/>
  <c r="AX97" i="3"/>
  <c r="AW97" i="3"/>
  <c r="AU97" i="3"/>
  <c r="AT97" i="3"/>
  <c r="M97" i="3"/>
  <c r="AZ96" i="3"/>
  <c r="AX96" i="3"/>
  <c r="AW96" i="3"/>
  <c r="AU96" i="3"/>
  <c r="AT96" i="3"/>
  <c r="M96" i="3"/>
  <c r="AZ95" i="3"/>
  <c r="AX95" i="3"/>
  <c r="AW95" i="3"/>
  <c r="AU95" i="3"/>
  <c r="AT95" i="3"/>
  <c r="M95" i="3"/>
  <c r="AZ94" i="3"/>
  <c r="AX94" i="3"/>
  <c r="AW94" i="3"/>
  <c r="AU94" i="3"/>
  <c r="AT94" i="3"/>
  <c r="M94" i="3"/>
  <c r="AZ93" i="3"/>
  <c r="AX93" i="3"/>
  <c r="AW93" i="3"/>
  <c r="AU93" i="3"/>
  <c r="AT93" i="3"/>
  <c r="M93" i="3"/>
  <c r="AZ92" i="3"/>
  <c r="AX92" i="3"/>
  <c r="AW92" i="3"/>
  <c r="AU92" i="3"/>
  <c r="AT92" i="3"/>
  <c r="M92" i="3"/>
  <c r="AZ91" i="3"/>
  <c r="AX91" i="3"/>
  <c r="AW91" i="3"/>
  <c r="AU91" i="3"/>
  <c r="AT91" i="3"/>
  <c r="M91" i="3"/>
  <c r="AZ90" i="3"/>
  <c r="AX90" i="3"/>
  <c r="AW90" i="3"/>
  <c r="AU90" i="3"/>
  <c r="AT90" i="3"/>
  <c r="M90" i="3"/>
  <c r="AZ89" i="3"/>
  <c r="AX89" i="3"/>
  <c r="AW89" i="3"/>
  <c r="AU89" i="3"/>
  <c r="AT89" i="3"/>
  <c r="M89" i="3"/>
  <c r="AZ88" i="3"/>
  <c r="AX88" i="3"/>
  <c r="AW88" i="3"/>
  <c r="AU88" i="3"/>
  <c r="AT88" i="3"/>
  <c r="M88" i="3"/>
  <c r="AZ87" i="3"/>
  <c r="AY87" i="3"/>
  <c r="AW87" i="3"/>
  <c r="AU87" i="3"/>
  <c r="AT87" i="3"/>
  <c r="AZ86" i="3"/>
  <c r="AY86" i="3"/>
  <c r="AW86" i="3"/>
  <c r="AU86" i="3"/>
  <c r="AT86" i="3"/>
  <c r="M86" i="3"/>
  <c r="AZ85" i="3"/>
  <c r="AY85" i="3"/>
  <c r="AW85" i="3"/>
  <c r="AU85" i="3"/>
  <c r="AT85" i="3"/>
  <c r="M85" i="3"/>
  <c r="AZ84" i="3"/>
  <c r="AY84" i="3"/>
  <c r="AW84" i="3"/>
  <c r="AU84" i="3"/>
  <c r="AT84" i="3"/>
  <c r="M84" i="3"/>
  <c r="AZ83" i="3"/>
  <c r="AY83" i="3"/>
  <c r="AW83" i="3"/>
  <c r="AU83" i="3"/>
  <c r="AT83" i="3"/>
  <c r="M83" i="3"/>
  <c r="AZ82" i="3"/>
  <c r="AY82" i="3"/>
  <c r="AW82" i="3"/>
  <c r="AU82" i="3"/>
  <c r="AT82" i="3"/>
  <c r="M82" i="3"/>
  <c r="AZ81" i="3"/>
  <c r="AY81" i="3"/>
  <c r="AW81" i="3"/>
  <c r="AU81" i="3"/>
  <c r="AT81" i="3"/>
  <c r="M81" i="3"/>
  <c r="AZ80" i="3"/>
  <c r="AY80" i="3"/>
  <c r="AW80" i="3"/>
  <c r="AU80" i="3"/>
  <c r="AT80" i="3"/>
  <c r="M80" i="3"/>
  <c r="AZ79" i="3"/>
  <c r="AY79" i="3"/>
  <c r="AW79" i="3"/>
  <c r="AU79" i="3"/>
  <c r="AT79" i="3"/>
  <c r="M79" i="3"/>
  <c r="AZ78" i="3"/>
  <c r="AY78" i="3"/>
  <c r="AW78" i="3"/>
  <c r="AU78" i="3"/>
  <c r="AT78" i="3"/>
  <c r="M78" i="3"/>
  <c r="AZ77" i="3"/>
  <c r="AY77" i="3"/>
  <c r="AW77" i="3"/>
  <c r="AU77" i="3"/>
  <c r="AT77" i="3"/>
  <c r="M77" i="3"/>
  <c r="AZ76" i="3"/>
  <c r="AY76" i="3"/>
  <c r="AW76" i="3"/>
  <c r="AU76" i="3"/>
  <c r="AT76" i="3"/>
  <c r="M76" i="3"/>
  <c r="AZ75" i="3"/>
  <c r="AY75" i="3"/>
  <c r="AW75" i="3"/>
  <c r="AU75" i="3"/>
  <c r="AT75" i="3"/>
  <c r="M75" i="3"/>
  <c r="AZ74" i="3"/>
  <c r="AY74" i="3"/>
  <c r="AW74" i="3"/>
  <c r="AU74" i="3"/>
  <c r="AT74" i="3"/>
  <c r="M74" i="3"/>
  <c r="AZ73" i="3"/>
  <c r="AY73" i="3"/>
  <c r="AX73" i="3"/>
  <c r="AV73" i="3"/>
  <c r="AT73" i="3"/>
  <c r="AZ72" i="3"/>
  <c r="AY72" i="3"/>
  <c r="AX72" i="3"/>
  <c r="AV72" i="3"/>
  <c r="AT72" i="3"/>
  <c r="M72" i="3"/>
  <c r="AZ71" i="3"/>
  <c r="AY71" i="3"/>
  <c r="AX71" i="3"/>
  <c r="AV71" i="3"/>
  <c r="AT71" i="3"/>
  <c r="M71" i="3"/>
  <c r="AZ70" i="3"/>
  <c r="AY70" i="3"/>
  <c r="AX70" i="3"/>
  <c r="AV70" i="3"/>
  <c r="AT70" i="3"/>
  <c r="M70" i="3"/>
  <c r="AZ69" i="3"/>
  <c r="AY69" i="3"/>
  <c r="AX69" i="3"/>
  <c r="AV69" i="3"/>
  <c r="AT69" i="3"/>
  <c r="M69" i="3"/>
  <c r="AZ68" i="3"/>
  <c r="AY68" i="3"/>
  <c r="AX68" i="3"/>
  <c r="AV68" i="3"/>
  <c r="AT68" i="3"/>
  <c r="M68" i="3"/>
  <c r="AZ67" i="3"/>
  <c r="AY67" i="3"/>
  <c r="AX67" i="3"/>
  <c r="AV67" i="3"/>
  <c r="AT67" i="3"/>
  <c r="M67" i="3"/>
  <c r="AZ66" i="3"/>
  <c r="AY66" i="3"/>
  <c r="AX66" i="3"/>
  <c r="AV66" i="3"/>
  <c r="AT66" i="3"/>
  <c r="M66" i="3"/>
  <c r="AZ65" i="3"/>
  <c r="AY65" i="3"/>
  <c r="AX65" i="3"/>
  <c r="AV65" i="3"/>
  <c r="AT65" i="3"/>
  <c r="M65" i="3"/>
  <c r="AZ64" i="3"/>
  <c r="AY64" i="3"/>
  <c r="AX64" i="3"/>
  <c r="AV64" i="3"/>
  <c r="AT64" i="3"/>
  <c r="M64" i="3"/>
  <c r="AZ63" i="3"/>
  <c r="AY63" i="3"/>
  <c r="AX63" i="3"/>
  <c r="AV63" i="3"/>
  <c r="AT63" i="3"/>
  <c r="M63" i="3"/>
  <c r="AZ62" i="3"/>
  <c r="AY62" i="3"/>
  <c r="AX62" i="3"/>
  <c r="AV62" i="3"/>
  <c r="AT62" i="3"/>
  <c r="M62" i="3"/>
  <c r="AZ61" i="3"/>
  <c r="AY61" i="3"/>
  <c r="AX61" i="3"/>
  <c r="AV61" i="3"/>
  <c r="AT61" i="3"/>
  <c r="M61" i="3"/>
  <c r="AZ60" i="3"/>
  <c r="AY60" i="3"/>
  <c r="AX60" i="3"/>
  <c r="AV60" i="3"/>
  <c r="AT60" i="3"/>
  <c r="M60" i="3"/>
  <c r="AZ59" i="3"/>
  <c r="AY59" i="3"/>
  <c r="AX59" i="3"/>
  <c r="AW59" i="3"/>
  <c r="AT59" i="3"/>
  <c r="AZ58" i="3"/>
  <c r="AY58" i="3"/>
  <c r="AX58" i="3"/>
  <c r="AW58" i="3"/>
  <c r="AT58" i="3"/>
  <c r="M58" i="3"/>
  <c r="AZ57" i="3"/>
  <c r="AY57" i="3"/>
  <c r="AX57" i="3"/>
  <c r="AW57" i="3"/>
  <c r="AT57" i="3"/>
  <c r="M57" i="3"/>
  <c r="AZ56" i="3"/>
  <c r="AY56" i="3"/>
  <c r="AX56" i="3"/>
  <c r="AW56" i="3"/>
  <c r="AT56" i="3"/>
  <c r="M56" i="3"/>
  <c r="AZ55" i="3"/>
  <c r="AY55" i="3"/>
  <c r="AX55" i="3"/>
  <c r="AW55" i="3"/>
  <c r="AT55" i="3"/>
  <c r="M55" i="3"/>
  <c r="AZ54" i="3"/>
  <c r="AY54" i="3"/>
  <c r="AX54" i="3"/>
  <c r="AW54" i="3"/>
  <c r="AT54" i="3"/>
  <c r="M54" i="3"/>
  <c r="AZ53" i="3"/>
  <c r="AY53" i="3"/>
  <c r="AX53" i="3"/>
  <c r="AW53" i="3"/>
  <c r="AT53" i="3"/>
  <c r="M53" i="3"/>
  <c r="AZ52" i="3"/>
  <c r="AY52" i="3"/>
  <c r="AX52" i="3"/>
  <c r="AW52" i="3"/>
  <c r="AT52" i="3"/>
  <c r="M52" i="3"/>
  <c r="AZ51" i="3"/>
  <c r="AY51" i="3"/>
  <c r="AX51" i="3"/>
  <c r="AW51" i="3"/>
  <c r="AT51" i="3"/>
  <c r="M51" i="3"/>
  <c r="AZ50" i="3"/>
  <c r="AY50" i="3"/>
  <c r="AX50" i="3"/>
  <c r="AW50" i="3"/>
  <c r="AT50" i="3"/>
  <c r="M50" i="3"/>
  <c r="AZ49" i="3"/>
  <c r="AY49" i="3"/>
  <c r="AX49" i="3"/>
  <c r="AW49" i="3"/>
  <c r="AT49" i="3"/>
  <c r="M49" i="3"/>
  <c r="AZ48" i="3"/>
  <c r="AY48" i="3"/>
  <c r="AX48" i="3"/>
  <c r="AW48" i="3"/>
  <c r="AT48" i="3"/>
  <c r="M48" i="3"/>
  <c r="AZ47" i="3"/>
  <c r="AY47" i="3"/>
  <c r="AX47" i="3"/>
  <c r="AW47" i="3"/>
  <c r="AT47" i="3"/>
  <c r="M47" i="3"/>
  <c r="AZ46" i="3"/>
  <c r="AY46" i="3"/>
  <c r="AX46" i="3"/>
  <c r="AW46" i="3"/>
  <c r="AT46" i="3"/>
  <c r="M46" i="3"/>
  <c r="AZ45" i="3"/>
  <c r="AY45" i="3"/>
  <c r="AX45" i="3"/>
  <c r="AW45" i="3"/>
  <c r="AV45" i="3"/>
  <c r="AZ44" i="3"/>
  <c r="AY44" i="3"/>
  <c r="AX44" i="3"/>
  <c r="AW44" i="3"/>
  <c r="AV44" i="3"/>
  <c r="M44" i="3"/>
  <c r="AZ43" i="3"/>
  <c r="AY43" i="3"/>
  <c r="AX43" i="3"/>
  <c r="AW43" i="3"/>
  <c r="AV43" i="3"/>
  <c r="M43" i="3"/>
  <c r="AZ42" i="3"/>
  <c r="AY42" i="3"/>
  <c r="AX42" i="3"/>
  <c r="AW42" i="3"/>
  <c r="AV42" i="3"/>
  <c r="M42" i="3"/>
  <c r="AZ41" i="3"/>
  <c r="AY41" i="3"/>
  <c r="AX41" i="3"/>
  <c r="AW41" i="3"/>
  <c r="AV41" i="3"/>
  <c r="M41" i="3"/>
  <c r="AZ40" i="3"/>
  <c r="AY40" i="3"/>
  <c r="AX40" i="3"/>
  <c r="AW40" i="3"/>
  <c r="AV40" i="3"/>
  <c r="M40" i="3"/>
  <c r="AZ39" i="3"/>
  <c r="AY39" i="3"/>
  <c r="AX39" i="3"/>
  <c r="AW39" i="3"/>
  <c r="AV39" i="3"/>
  <c r="M39" i="3"/>
  <c r="AZ38" i="3"/>
  <c r="AY38" i="3"/>
  <c r="AX38" i="3"/>
  <c r="AW38" i="3"/>
  <c r="AV38" i="3"/>
  <c r="M38" i="3"/>
  <c r="AZ37" i="3"/>
  <c r="AY37" i="3"/>
  <c r="AX37" i="3"/>
  <c r="AW37" i="3"/>
  <c r="AV37" i="3"/>
  <c r="M37" i="3"/>
  <c r="AZ36" i="3"/>
  <c r="AY36" i="3"/>
  <c r="AX36" i="3"/>
  <c r="AW36" i="3"/>
  <c r="AV36" i="3"/>
  <c r="M36" i="3"/>
  <c r="AZ35" i="3"/>
  <c r="AY35" i="3"/>
  <c r="AX35" i="3"/>
  <c r="AW35" i="3"/>
  <c r="AV35" i="3"/>
  <c r="M35" i="3"/>
  <c r="AZ34" i="3"/>
  <c r="AY34" i="3"/>
  <c r="AX34" i="3"/>
  <c r="AW34" i="3"/>
  <c r="AV34" i="3"/>
  <c r="M34" i="3"/>
  <c r="AZ33" i="3"/>
  <c r="AY33" i="3"/>
  <c r="AX33" i="3"/>
  <c r="AW33" i="3"/>
  <c r="AV33" i="3"/>
  <c r="M33" i="3"/>
  <c r="AZ32" i="3"/>
  <c r="AY32" i="3"/>
  <c r="AX32" i="3"/>
  <c r="AW32" i="3"/>
  <c r="AV32" i="3"/>
  <c r="M32" i="3"/>
  <c r="AZ31" i="3"/>
  <c r="AY31" i="3"/>
  <c r="AX31" i="3"/>
  <c r="AW31" i="3"/>
  <c r="AV31" i="3"/>
  <c r="AU31" i="3"/>
  <c r="AZ30" i="3"/>
  <c r="AY30" i="3"/>
  <c r="AX30" i="3"/>
  <c r="AW30" i="3"/>
  <c r="AV30" i="3"/>
  <c r="AU30" i="3"/>
  <c r="AA30" i="3"/>
  <c r="M30" i="3"/>
  <c r="AZ29" i="3"/>
  <c r="AY29" i="3"/>
  <c r="AX29" i="3"/>
  <c r="AW29" i="3"/>
  <c r="AV29" i="3"/>
  <c r="AU29" i="3"/>
  <c r="AA29" i="3"/>
  <c r="M29" i="3"/>
  <c r="AZ28" i="3"/>
  <c r="AY28" i="3"/>
  <c r="AX28" i="3"/>
  <c r="AW28" i="3"/>
  <c r="AV28" i="3"/>
  <c r="AU28" i="3"/>
  <c r="AA28" i="3"/>
  <c r="M28" i="3"/>
  <c r="AZ27" i="3"/>
  <c r="AY27" i="3"/>
  <c r="AX27" i="3"/>
  <c r="AW27" i="3"/>
  <c r="AV27" i="3"/>
  <c r="AU27" i="3"/>
  <c r="AI27" i="3"/>
  <c r="AA27" i="3"/>
  <c r="M27" i="3"/>
  <c r="AZ26" i="3"/>
  <c r="AY26" i="3"/>
  <c r="AX26" i="3"/>
  <c r="AW26" i="3"/>
  <c r="AV26" i="3"/>
  <c r="AU26" i="3"/>
  <c r="AI26" i="3"/>
  <c r="AE26" i="3"/>
  <c r="AA26" i="3"/>
  <c r="M26" i="3"/>
  <c r="AZ25" i="3"/>
  <c r="AY25" i="3"/>
  <c r="AX25" i="3"/>
  <c r="AW25" i="3"/>
  <c r="AV25" i="3"/>
  <c r="AU25" i="3"/>
  <c r="AM25" i="3"/>
  <c r="AI25" i="3"/>
  <c r="AE25" i="3"/>
  <c r="AA25" i="3"/>
  <c r="M25" i="3"/>
  <c r="AZ24" i="3"/>
  <c r="AY24" i="3"/>
  <c r="AX24" i="3"/>
  <c r="AW24" i="3"/>
  <c r="AV24" i="3"/>
  <c r="AU24" i="3"/>
  <c r="AM24" i="3"/>
  <c r="AI24" i="3"/>
  <c r="AE24" i="3"/>
  <c r="AA24" i="3"/>
  <c r="M24" i="3"/>
  <c r="AZ23" i="3"/>
  <c r="AY23" i="3"/>
  <c r="AX23" i="3"/>
  <c r="AW23" i="3"/>
  <c r="AV23" i="3"/>
  <c r="AU23" i="3"/>
  <c r="AM23" i="3"/>
  <c r="AI23" i="3"/>
  <c r="AE23" i="3"/>
  <c r="AA23" i="3"/>
  <c r="M23" i="3"/>
  <c r="AZ22" i="3"/>
  <c r="AY22" i="3"/>
  <c r="AX22" i="3"/>
  <c r="AW22" i="3"/>
  <c r="AV22" i="3"/>
  <c r="AU22" i="3"/>
  <c r="AM22" i="3"/>
  <c r="AI22" i="3"/>
  <c r="AE22" i="3"/>
  <c r="AA22" i="3"/>
  <c r="M22" i="3"/>
  <c r="AZ21" i="3"/>
  <c r="AY21" i="3"/>
  <c r="AX21" i="3"/>
  <c r="AW21" i="3"/>
  <c r="AV21" i="3"/>
  <c r="AU21" i="3"/>
  <c r="AM21" i="3"/>
  <c r="AI21" i="3"/>
  <c r="AE21" i="3"/>
  <c r="AA21" i="3"/>
  <c r="M21" i="3"/>
  <c r="AZ20" i="3"/>
  <c r="AY20" i="3"/>
  <c r="AX20" i="3"/>
  <c r="AW20" i="3"/>
  <c r="AV20" i="3"/>
  <c r="AU20" i="3"/>
  <c r="AM20" i="3"/>
  <c r="AI20" i="3"/>
  <c r="AE20" i="3"/>
  <c r="AA20" i="3"/>
  <c r="M20" i="3"/>
  <c r="AZ19" i="3"/>
  <c r="AY19" i="3"/>
  <c r="AX19" i="3"/>
  <c r="AW19" i="3"/>
  <c r="AV19" i="3"/>
  <c r="AU19" i="3"/>
  <c r="AM19" i="3"/>
  <c r="AI19" i="3"/>
  <c r="AE19" i="3"/>
  <c r="AA19" i="3"/>
  <c r="M19" i="3"/>
  <c r="AZ18" i="3"/>
  <c r="AY18" i="3"/>
  <c r="AX18" i="3"/>
  <c r="AW18" i="3"/>
  <c r="AV18" i="3"/>
  <c r="AU18" i="3"/>
  <c r="AM18" i="3"/>
  <c r="AI18" i="3"/>
  <c r="AG18" i="3" a="1"/>
  <c r="AG23" i="3" s="1"/>
  <c r="AE18" i="3"/>
  <c r="AA18" i="3"/>
  <c r="M18" i="3"/>
  <c r="J18" i="3"/>
  <c r="I19" i="3" s="1"/>
  <c r="AD23" i="1"/>
  <c r="AD22" i="1"/>
  <c r="AD21" i="1"/>
  <c r="AD20" i="1"/>
  <c r="AD19" i="1"/>
  <c r="AD18" i="1"/>
  <c r="AD11" i="1"/>
  <c r="AL20" i="1"/>
  <c r="AL19" i="1"/>
  <c r="AH19" i="1"/>
  <c r="AP18" i="1"/>
  <c r="AL18" i="1"/>
  <c r="AH18" i="1"/>
  <c r="AP17" i="1"/>
  <c r="AL17" i="1"/>
  <c r="AH17" i="1"/>
  <c r="AD17" i="1"/>
  <c r="AP16" i="1"/>
  <c r="AL16" i="1"/>
  <c r="AH16" i="1"/>
  <c r="AD16" i="1"/>
  <c r="AP15" i="1"/>
  <c r="AL15" i="1"/>
  <c r="AH15" i="1"/>
  <c r="AD15" i="1"/>
  <c r="AP14" i="1"/>
  <c r="AL14" i="1"/>
  <c r="AH14" i="1"/>
  <c r="AD14" i="1"/>
  <c r="AP13" i="1"/>
  <c r="AL13" i="1"/>
  <c r="AH13" i="1"/>
  <c r="AD13" i="1"/>
  <c r="AP12" i="1"/>
  <c r="AL12" i="1"/>
  <c r="AH12" i="1"/>
  <c r="AD12" i="1"/>
  <c r="AP11" i="1"/>
  <c r="AN11" i="1" a="1"/>
  <c r="AN14" i="1" s="1"/>
  <c r="AL11" i="1"/>
  <c r="AJ11" i="1" a="1"/>
  <c r="AJ16" i="1" s="1"/>
  <c r="AH11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BB206" i="1"/>
  <c r="BA206" i="1"/>
  <c r="AZ206" i="1"/>
  <c r="AY206" i="1"/>
  <c r="AX206" i="1"/>
  <c r="AW206" i="1"/>
  <c r="BB205" i="1"/>
  <c r="BA205" i="1"/>
  <c r="AZ205" i="1"/>
  <c r="AY205" i="1"/>
  <c r="AX205" i="1"/>
  <c r="AW205" i="1"/>
  <c r="BB204" i="1"/>
  <c r="BA204" i="1"/>
  <c r="AZ204" i="1"/>
  <c r="AY204" i="1"/>
  <c r="AX204" i="1"/>
  <c r="AW204" i="1"/>
  <c r="BB203" i="1"/>
  <c r="BA203" i="1"/>
  <c r="AZ203" i="1"/>
  <c r="AY203" i="1"/>
  <c r="AX203" i="1"/>
  <c r="AW203" i="1"/>
  <c r="BB202" i="1"/>
  <c r="BA202" i="1"/>
  <c r="AZ202" i="1"/>
  <c r="AY202" i="1"/>
  <c r="AX202" i="1"/>
  <c r="AW202" i="1"/>
  <c r="BB201" i="1"/>
  <c r="BA201" i="1"/>
  <c r="AZ201" i="1"/>
  <c r="AY201" i="1"/>
  <c r="AX201" i="1"/>
  <c r="AW201" i="1"/>
  <c r="BB200" i="1"/>
  <c r="BA200" i="1"/>
  <c r="AZ200" i="1"/>
  <c r="AY200" i="1"/>
  <c r="AX200" i="1"/>
  <c r="AW200" i="1"/>
  <c r="BB199" i="1"/>
  <c r="BA199" i="1"/>
  <c r="AZ199" i="1"/>
  <c r="AY199" i="1"/>
  <c r="AX199" i="1"/>
  <c r="AW199" i="1"/>
  <c r="BB198" i="1"/>
  <c r="BA198" i="1"/>
  <c r="AZ198" i="1"/>
  <c r="AY198" i="1"/>
  <c r="AX198" i="1"/>
  <c r="AW198" i="1"/>
  <c r="BB197" i="1"/>
  <c r="BA197" i="1"/>
  <c r="AZ197" i="1"/>
  <c r="AY197" i="1"/>
  <c r="AX197" i="1"/>
  <c r="AW197" i="1"/>
  <c r="BB196" i="1"/>
  <c r="BA196" i="1"/>
  <c r="AZ196" i="1"/>
  <c r="AY196" i="1"/>
  <c r="AX196" i="1"/>
  <c r="AW196" i="1"/>
  <c r="BB195" i="1"/>
  <c r="BA195" i="1"/>
  <c r="AZ195" i="1"/>
  <c r="AY195" i="1"/>
  <c r="AX195" i="1"/>
  <c r="AW195" i="1"/>
  <c r="BB194" i="1"/>
  <c r="BA194" i="1"/>
  <c r="AZ194" i="1"/>
  <c r="AY194" i="1"/>
  <c r="AX194" i="1"/>
  <c r="AW194" i="1"/>
  <c r="BB193" i="1"/>
  <c r="BA193" i="1"/>
  <c r="AZ193" i="1"/>
  <c r="AY193" i="1"/>
  <c r="AX193" i="1"/>
  <c r="AW193" i="1"/>
  <c r="BB192" i="1"/>
  <c r="BA192" i="1"/>
  <c r="AZ192" i="1"/>
  <c r="AY192" i="1"/>
  <c r="AX192" i="1"/>
  <c r="AW192" i="1"/>
  <c r="BB191" i="1"/>
  <c r="BA191" i="1"/>
  <c r="AZ191" i="1"/>
  <c r="AY191" i="1"/>
  <c r="AX191" i="1"/>
  <c r="AW191" i="1"/>
  <c r="BB190" i="1"/>
  <c r="BA190" i="1"/>
  <c r="AZ190" i="1"/>
  <c r="AY190" i="1"/>
  <c r="AX190" i="1"/>
  <c r="AW190" i="1"/>
  <c r="BB189" i="1"/>
  <c r="BA189" i="1"/>
  <c r="AZ189" i="1"/>
  <c r="AY189" i="1"/>
  <c r="AX189" i="1"/>
  <c r="AW189" i="1"/>
  <c r="BB188" i="1"/>
  <c r="BA188" i="1"/>
  <c r="AZ188" i="1"/>
  <c r="AY188" i="1"/>
  <c r="AX188" i="1"/>
  <c r="AW188" i="1"/>
  <c r="BB187" i="1"/>
  <c r="BA187" i="1"/>
  <c r="AZ187" i="1"/>
  <c r="AY187" i="1"/>
  <c r="AX187" i="1"/>
  <c r="AW187" i="1"/>
  <c r="BB186" i="1"/>
  <c r="BA186" i="1"/>
  <c r="AZ186" i="1"/>
  <c r="AY186" i="1"/>
  <c r="AX186" i="1"/>
  <c r="AW186" i="1"/>
  <c r="BB185" i="1"/>
  <c r="BA185" i="1"/>
  <c r="AZ185" i="1"/>
  <c r="AY185" i="1"/>
  <c r="AX185" i="1"/>
  <c r="AW185" i="1"/>
  <c r="BB184" i="1"/>
  <c r="BA184" i="1"/>
  <c r="AZ184" i="1"/>
  <c r="AY184" i="1"/>
  <c r="AX184" i="1"/>
  <c r="AW184" i="1"/>
  <c r="BB183" i="1"/>
  <c r="BA183" i="1"/>
  <c r="AZ183" i="1"/>
  <c r="AY183" i="1"/>
  <c r="AX183" i="1"/>
  <c r="AW183" i="1"/>
  <c r="BB182" i="1"/>
  <c r="BA182" i="1"/>
  <c r="AZ182" i="1"/>
  <c r="AY182" i="1"/>
  <c r="AX182" i="1"/>
  <c r="AW182" i="1"/>
  <c r="BB181" i="1"/>
  <c r="BA181" i="1"/>
  <c r="AZ181" i="1"/>
  <c r="AY181" i="1"/>
  <c r="AX181" i="1"/>
  <c r="AW181" i="1"/>
  <c r="BB180" i="1"/>
  <c r="BA180" i="1"/>
  <c r="AZ180" i="1"/>
  <c r="AY180" i="1"/>
  <c r="AX180" i="1"/>
  <c r="AW180" i="1"/>
  <c r="BB179" i="1"/>
  <c r="BA179" i="1"/>
  <c r="AZ179" i="1"/>
  <c r="AY179" i="1"/>
  <c r="AX179" i="1"/>
  <c r="AW179" i="1"/>
  <c r="BC178" i="1"/>
  <c r="BA178" i="1"/>
  <c r="AZ178" i="1"/>
  <c r="AY178" i="1"/>
  <c r="AX178" i="1"/>
  <c r="AW178" i="1"/>
  <c r="BC177" i="1"/>
  <c r="BA177" i="1"/>
  <c r="AZ177" i="1"/>
  <c r="AY177" i="1"/>
  <c r="AX177" i="1"/>
  <c r="AW177" i="1"/>
  <c r="BC176" i="1"/>
  <c r="BA176" i="1"/>
  <c r="AZ176" i="1"/>
  <c r="AY176" i="1"/>
  <c r="AX176" i="1"/>
  <c r="AW176" i="1"/>
  <c r="BC175" i="1"/>
  <c r="BA175" i="1"/>
  <c r="AZ175" i="1"/>
  <c r="AY175" i="1"/>
  <c r="AX175" i="1"/>
  <c r="AW175" i="1"/>
  <c r="BC174" i="1"/>
  <c r="BA174" i="1"/>
  <c r="AZ174" i="1"/>
  <c r="AY174" i="1"/>
  <c r="AX174" i="1"/>
  <c r="AW174" i="1"/>
  <c r="BC173" i="1"/>
  <c r="BA173" i="1"/>
  <c r="AZ173" i="1"/>
  <c r="AY173" i="1"/>
  <c r="AX173" i="1"/>
  <c r="AW173" i="1"/>
  <c r="BC172" i="1"/>
  <c r="BA172" i="1"/>
  <c r="AZ172" i="1"/>
  <c r="AY172" i="1"/>
  <c r="AX172" i="1"/>
  <c r="AW172" i="1"/>
  <c r="BC171" i="1"/>
  <c r="BA171" i="1"/>
  <c r="AZ171" i="1"/>
  <c r="AY171" i="1"/>
  <c r="AX171" i="1"/>
  <c r="AW171" i="1"/>
  <c r="BC170" i="1"/>
  <c r="BA170" i="1"/>
  <c r="AZ170" i="1"/>
  <c r="AY170" i="1"/>
  <c r="AX170" i="1"/>
  <c r="AW170" i="1"/>
  <c r="BC169" i="1"/>
  <c r="BA169" i="1"/>
  <c r="AZ169" i="1"/>
  <c r="AY169" i="1"/>
  <c r="AX169" i="1"/>
  <c r="AW169" i="1"/>
  <c r="BC168" i="1"/>
  <c r="BA168" i="1"/>
  <c r="AZ168" i="1"/>
  <c r="AY168" i="1"/>
  <c r="AX168" i="1"/>
  <c r="AW168" i="1"/>
  <c r="BC167" i="1"/>
  <c r="BA167" i="1"/>
  <c r="AZ167" i="1"/>
  <c r="AY167" i="1"/>
  <c r="AX167" i="1"/>
  <c r="AW167" i="1"/>
  <c r="BC166" i="1"/>
  <c r="BA166" i="1"/>
  <c r="AZ166" i="1"/>
  <c r="AY166" i="1"/>
  <c r="AX166" i="1"/>
  <c r="AW166" i="1"/>
  <c r="BC165" i="1"/>
  <c r="BA165" i="1"/>
  <c r="AZ165" i="1"/>
  <c r="AY165" i="1"/>
  <c r="AX165" i="1"/>
  <c r="AW165" i="1"/>
  <c r="BC164" i="1"/>
  <c r="BA164" i="1"/>
  <c r="AZ164" i="1"/>
  <c r="AY164" i="1"/>
  <c r="AX164" i="1"/>
  <c r="AW164" i="1"/>
  <c r="BC163" i="1"/>
  <c r="BA163" i="1"/>
  <c r="AZ163" i="1"/>
  <c r="AY163" i="1"/>
  <c r="AX163" i="1"/>
  <c r="AW163" i="1"/>
  <c r="BC162" i="1"/>
  <c r="BA162" i="1"/>
  <c r="AZ162" i="1"/>
  <c r="AY162" i="1"/>
  <c r="AX162" i="1"/>
  <c r="AW162" i="1"/>
  <c r="BC161" i="1"/>
  <c r="BA161" i="1"/>
  <c r="AZ161" i="1"/>
  <c r="AY161" i="1"/>
  <c r="AX161" i="1"/>
  <c r="AW161" i="1"/>
  <c r="BC160" i="1"/>
  <c r="BA160" i="1"/>
  <c r="AZ160" i="1"/>
  <c r="AY160" i="1"/>
  <c r="AX160" i="1"/>
  <c r="AW160" i="1"/>
  <c r="BC159" i="1"/>
  <c r="BA159" i="1"/>
  <c r="AZ159" i="1"/>
  <c r="AY159" i="1"/>
  <c r="AX159" i="1"/>
  <c r="AW159" i="1"/>
  <c r="BC158" i="1"/>
  <c r="BA158" i="1"/>
  <c r="AZ158" i="1"/>
  <c r="AY158" i="1"/>
  <c r="AX158" i="1"/>
  <c r="AW158" i="1"/>
  <c r="BC157" i="1"/>
  <c r="BA157" i="1"/>
  <c r="AZ157" i="1"/>
  <c r="AY157" i="1"/>
  <c r="AX157" i="1"/>
  <c r="AW157" i="1"/>
  <c r="BC156" i="1"/>
  <c r="BA156" i="1"/>
  <c r="AZ156" i="1"/>
  <c r="AY156" i="1"/>
  <c r="AX156" i="1"/>
  <c r="AW156" i="1"/>
  <c r="BC155" i="1"/>
  <c r="BA155" i="1"/>
  <c r="AZ155" i="1"/>
  <c r="AY155" i="1"/>
  <c r="AX155" i="1"/>
  <c r="AW155" i="1"/>
  <c r="BC154" i="1"/>
  <c r="BA154" i="1"/>
  <c r="AZ154" i="1"/>
  <c r="AY154" i="1"/>
  <c r="AX154" i="1"/>
  <c r="AW154" i="1"/>
  <c r="BC153" i="1"/>
  <c r="BA153" i="1"/>
  <c r="AZ153" i="1"/>
  <c r="AY153" i="1"/>
  <c r="AX153" i="1"/>
  <c r="AW153" i="1"/>
  <c r="BC152" i="1"/>
  <c r="BA152" i="1"/>
  <c r="AZ152" i="1"/>
  <c r="AY152" i="1"/>
  <c r="AX152" i="1"/>
  <c r="AW152" i="1"/>
  <c r="BC151" i="1"/>
  <c r="BA151" i="1"/>
  <c r="AZ151" i="1"/>
  <c r="AY151" i="1"/>
  <c r="AX151" i="1"/>
  <c r="AW151" i="1"/>
  <c r="BC150" i="1"/>
  <c r="BB150" i="1"/>
  <c r="AZ150" i="1"/>
  <c r="AY150" i="1"/>
  <c r="AX150" i="1"/>
  <c r="AW150" i="1"/>
  <c r="BC149" i="1"/>
  <c r="BB149" i="1"/>
  <c r="AZ149" i="1"/>
  <c r="AY149" i="1"/>
  <c r="AX149" i="1"/>
  <c r="AW149" i="1"/>
  <c r="BC148" i="1"/>
  <c r="BB148" i="1"/>
  <c r="AZ148" i="1"/>
  <c r="AY148" i="1"/>
  <c r="AX148" i="1"/>
  <c r="AW148" i="1"/>
  <c r="BC147" i="1"/>
  <c r="BB147" i="1"/>
  <c r="AZ147" i="1"/>
  <c r="AY147" i="1"/>
  <c r="AX147" i="1"/>
  <c r="AW147" i="1"/>
  <c r="BC146" i="1"/>
  <c r="BB146" i="1"/>
  <c r="AZ146" i="1"/>
  <c r="AY146" i="1"/>
  <c r="AX146" i="1"/>
  <c r="AW146" i="1"/>
  <c r="BC145" i="1"/>
  <c r="BB145" i="1"/>
  <c r="AZ145" i="1"/>
  <c r="AY145" i="1"/>
  <c r="AX145" i="1"/>
  <c r="AW145" i="1"/>
  <c r="BC144" i="1"/>
  <c r="BB144" i="1"/>
  <c r="AZ144" i="1"/>
  <c r="AY144" i="1"/>
  <c r="AX144" i="1"/>
  <c r="AW144" i="1"/>
  <c r="BC143" i="1"/>
  <c r="BB143" i="1"/>
  <c r="AZ143" i="1"/>
  <c r="AY143" i="1"/>
  <c r="AX143" i="1"/>
  <c r="AW143" i="1"/>
  <c r="BC142" i="1"/>
  <c r="BB142" i="1"/>
  <c r="AZ142" i="1"/>
  <c r="AY142" i="1"/>
  <c r="AX142" i="1"/>
  <c r="AW142" i="1"/>
  <c r="BC141" i="1"/>
  <c r="BB141" i="1"/>
  <c r="AZ141" i="1"/>
  <c r="AY141" i="1"/>
  <c r="AX141" i="1"/>
  <c r="AW141" i="1"/>
  <c r="BC140" i="1"/>
  <c r="BB140" i="1"/>
  <c r="AZ140" i="1"/>
  <c r="AY140" i="1"/>
  <c r="AX140" i="1"/>
  <c r="AW140" i="1"/>
  <c r="BC139" i="1"/>
  <c r="BB139" i="1"/>
  <c r="AZ139" i="1"/>
  <c r="AY139" i="1"/>
  <c r="AX139" i="1"/>
  <c r="AW139" i="1"/>
  <c r="BC138" i="1"/>
  <c r="BB138" i="1"/>
  <c r="AZ138" i="1"/>
  <c r="AY138" i="1"/>
  <c r="AX138" i="1"/>
  <c r="AW138" i="1"/>
  <c r="BC137" i="1"/>
  <c r="BB137" i="1"/>
  <c r="AZ137" i="1"/>
  <c r="AY137" i="1"/>
  <c r="AX137" i="1"/>
  <c r="AW137" i="1"/>
  <c r="BC136" i="1"/>
  <c r="BB136" i="1"/>
  <c r="AZ136" i="1"/>
  <c r="AY136" i="1"/>
  <c r="AX136" i="1"/>
  <c r="AW136" i="1"/>
  <c r="BC135" i="1"/>
  <c r="BB135" i="1"/>
  <c r="AZ135" i="1"/>
  <c r="AY135" i="1"/>
  <c r="AX135" i="1"/>
  <c r="AW135" i="1"/>
  <c r="BC134" i="1"/>
  <c r="BB134" i="1"/>
  <c r="AZ134" i="1"/>
  <c r="AY134" i="1"/>
  <c r="AX134" i="1"/>
  <c r="AW134" i="1"/>
  <c r="BC133" i="1"/>
  <c r="BB133" i="1"/>
  <c r="AZ133" i="1"/>
  <c r="AY133" i="1"/>
  <c r="AX133" i="1"/>
  <c r="AW133" i="1"/>
  <c r="BC132" i="1"/>
  <c r="BB132" i="1"/>
  <c r="AZ132" i="1"/>
  <c r="AY132" i="1"/>
  <c r="AX132" i="1"/>
  <c r="AW132" i="1"/>
  <c r="BC131" i="1"/>
  <c r="BB131" i="1"/>
  <c r="AZ131" i="1"/>
  <c r="AY131" i="1"/>
  <c r="AX131" i="1"/>
  <c r="AW131" i="1"/>
  <c r="BC130" i="1"/>
  <c r="BB130" i="1"/>
  <c r="AZ130" i="1"/>
  <c r="AY130" i="1"/>
  <c r="AX130" i="1"/>
  <c r="AW130" i="1"/>
  <c r="BC129" i="1"/>
  <c r="BB129" i="1"/>
  <c r="AZ129" i="1"/>
  <c r="AY129" i="1"/>
  <c r="AX129" i="1"/>
  <c r="AW129" i="1"/>
  <c r="BC128" i="1"/>
  <c r="BB128" i="1"/>
  <c r="AZ128" i="1"/>
  <c r="AY128" i="1"/>
  <c r="AX128" i="1"/>
  <c r="AW128" i="1"/>
  <c r="BC127" i="1"/>
  <c r="BB127" i="1"/>
  <c r="AZ127" i="1"/>
  <c r="AY127" i="1"/>
  <c r="AX127" i="1"/>
  <c r="AW127" i="1"/>
  <c r="BC126" i="1"/>
  <c r="BB126" i="1"/>
  <c r="AZ126" i="1"/>
  <c r="AY126" i="1"/>
  <c r="AX126" i="1"/>
  <c r="AW126" i="1"/>
  <c r="BC125" i="1"/>
  <c r="BB125" i="1"/>
  <c r="AZ125" i="1"/>
  <c r="AY125" i="1"/>
  <c r="AX125" i="1"/>
  <c r="AW125" i="1"/>
  <c r="BC124" i="1"/>
  <c r="BB124" i="1"/>
  <c r="AZ124" i="1"/>
  <c r="AY124" i="1"/>
  <c r="AX124" i="1"/>
  <c r="AW124" i="1"/>
  <c r="BC123" i="1"/>
  <c r="BB123" i="1"/>
  <c r="AZ123" i="1"/>
  <c r="AY123" i="1"/>
  <c r="AX123" i="1"/>
  <c r="AW123" i="1"/>
  <c r="BC122" i="1"/>
  <c r="BB122" i="1"/>
  <c r="BA122" i="1"/>
  <c r="AY122" i="1"/>
  <c r="AX122" i="1"/>
  <c r="AW122" i="1"/>
  <c r="BC121" i="1"/>
  <c r="BB121" i="1"/>
  <c r="BA121" i="1"/>
  <c r="AY121" i="1"/>
  <c r="AX121" i="1"/>
  <c r="AW121" i="1"/>
  <c r="BC120" i="1"/>
  <c r="BB120" i="1"/>
  <c r="BA120" i="1"/>
  <c r="AY120" i="1"/>
  <c r="AX120" i="1"/>
  <c r="AW120" i="1"/>
  <c r="BC119" i="1"/>
  <c r="BB119" i="1"/>
  <c r="BA119" i="1"/>
  <c r="AY119" i="1"/>
  <c r="AX119" i="1"/>
  <c r="AW119" i="1"/>
  <c r="BC118" i="1"/>
  <c r="BB118" i="1"/>
  <c r="BA118" i="1"/>
  <c r="AY118" i="1"/>
  <c r="AX118" i="1"/>
  <c r="AW118" i="1"/>
  <c r="BC117" i="1"/>
  <c r="BB117" i="1"/>
  <c r="BA117" i="1"/>
  <c r="AY117" i="1"/>
  <c r="AX117" i="1"/>
  <c r="AW117" i="1"/>
  <c r="BC116" i="1"/>
  <c r="BB116" i="1"/>
  <c r="BA116" i="1"/>
  <c r="AY116" i="1"/>
  <c r="AX116" i="1"/>
  <c r="AW116" i="1"/>
  <c r="BC115" i="1"/>
  <c r="BB115" i="1"/>
  <c r="BA115" i="1"/>
  <c r="AY115" i="1"/>
  <c r="AX115" i="1"/>
  <c r="AW115" i="1"/>
  <c r="BC114" i="1"/>
  <c r="BB114" i="1"/>
  <c r="BA114" i="1"/>
  <c r="AY114" i="1"/>
  <c r="AX114" i="1"/>
  <c r="AW114" i="1"/>
  <c r="BC113" i="1"/>
  <c r="BB113" i="1"/>
  <c r="BA113" i="1"/>
  <c r="AY113" i="1"/>
  <c r="AX113" i="1"/>
  <c r="AW113" i="1"/>
  <c r="BC112" i="1"/>
  <c r="BB112" i="1"/>
  <c r="BA112" i="1"/>
  <c r="AY112" i="1"/>
  <c r="AX112" i="1"/>
  <c r="AW112" i="1"/>
  <c r="BC111" i="1"/>
  <c r="BB111" i="1"/>
  <c r="BA111" i="1"/>
  <c r="AY111" i="1"/>
  <c r="AX111" i="1"/>
  <c r="AW111" i="1"/>
  <c r="BC110" i="1"/>
  <c r="BB110" i="1"/>
  <c r="BA110" i="1"/>
  <c r="AY110" i="1"/>
  <c r="AX110" i="1"/>
  <c r="AW110" i="1"/>
  <c r="BC109" i="1"/>
  <c r="BB109" i="1"/>
  <c r="BA109" i="1"/>
  <c r="AY109" i="1"/>
  <c r="AX109" i="1"/>
  <c r="AW109" i="1"/>
  <c r="BC108" i="1"/>
  <c r="BB108" i="1"/>
  <c r="BA108" i="1"/>
  <c r="AY108" i="1"/>
  <c r="AX108" i="1"/>
  <c r="AW108" i="1"/>
  <c r="BC107" i="1"/>
  <c r="BB107" i="1"/>
  <c r="BA107" i="1"/>
  <c r="AY107" i="1"/>
  <c r="AX107" i="1"/>
  <c r="AW107" i="1"/>
  <c r="BC106" i="1"/>
  <c r="BB106" i="1"/>
  <c r="BA106" i="1"/>
  <c r="AY106" i="1"/>
  <c r="AX106" i="1"/>
  <c r="AW106" i="1"/>
  <c r="BC105" i="1"/>
  <c r="BB105" i="1"/>
  <c r="BA105" i="1"/>
  <c r="AY105" i="1"/>
  <c r="AX105" i="1"/>
  <c r="AW105" i="1"/>
  <c r="BC104" i="1"/>
  <c r="BB104" i="1"/>
  <c r="BA104" i="1"/>
  <c r="AY104" i="1"/>
  <c r="AX104" i="1"/>
  <c r="AW104" i="1"/>
  <c r="BC103" i="1"/>
  <c r="BB103" i="1"/>
  <c r="BA103" i="1"/>
  <c r="AY103" i="1"/>
  <c r="AX103" i="1"/>
  <c r="AW103" i="1"/>
  <c r="BC102" i="1"/>
  <c r="BB102" i="1"/>
  <c r="BA102" i="1"/>
  <c r="AY102" i="1"/>
  <c r="AX102" i="1"/>
  <c r="AW102" i="1"/>
  <c r="BC101" i="1"/>
  <c r="BB101" i="1"/>
  <c r="BA101" i="1"/>
  <c r="AY101" i="1"/>
  <c r="AX101" i="1"/>
  <c r="AW101" i="1"/>
  <c r="BC100" i="1"/>
  <c r="BB100" i="1"/>
  <c r="BA100" i="1"/>
  <c r="AY100" i="1"/>
  <c r="AX100" i="1"/>
  <c r="AW100" i="1"/>
  <c r="BC99" i="1"/>
  <c r="BB99" i="1"/>
  <c r="BA99" i="1"/>
  <c r="AY99" i="1"/>
  <c r="AX99" i="1"/>
  <c r="AW99" i="1"/>
  <c r="BC98" i="1"/>
  <c r="BB98" i="1"/>
  <c r="BA98" i="1"/>
  <c r="AY98" i="1"/>
  <c r="AX98" i="1"/>
  <c r="AW98" i="1"/>
  <c r="BC97" i="1"/>
  <c r="BB97" i="1"/>
  <c r="BA97" i="1"/>
  <c r="AY97" i="1"/>
  <c r="AX97" i="1"/>
  <c r="AW97" i="1"/>
  <c r="BC96" i="1"/>
  <c r="BB96" i="1"/>
  <c r="BA96" i="1"/>
  <c r="AY96" i="1"/>
  <c r="AX96" i="1"/>
  <c r="AW96" i="1"/>
  <c r="BC95" i="1"/>
  <c r="BB95" i="1"/>
  <c r="BA95" i="1"/>
  <c r="AY95" i="1"/>
  <c r="AX95" i="1"/>
  <c r="AW95" i="1"/>
  <c r="BC94" i="1"/>
  <c r="BB94" i="1"/>
  <c r="BA94" i="1"/>
  <c r="AZ94" i="1"/>
  <c r="AX94" i="1"/>
  <c r="AW94" i="1"/>
  <c r="BC93" i="1"/>
  <c r="BB93" i="1"/>
  <c r="BA93" i="1"/>
  <c r="AZ93" i="1"/>
  <c r="AX93" i="1"/>
  <c r="AW93" i="1"/>
  <c r="BC92" i="1"/>
  <c r="BB92" i="1"/>
  <c r="BA92" i="1"/>
  <c r="AZ92" i="1"/>
  <c r="AX92" i="1"/>
  <c r="AW92" i="1"/>
  <c r="BC91" i="1"/>
  <c r="BB91" i="1"/>
  <c r="BA91" i="1"/>
  <c r="AZ91" i="1"/>
  <c r="AX91" i="1"/>
  <c r="AW91" i="1"/>
  <c r="BC90" i="1"/>
  <c r="BB90" i="1"/>
  <c r="BA90" i="1"/>
  <c r="AZ90" i="1"/>
  <c r="AX90" i="1"/>
  <c r="AW90" i="1"/>
  <c r="BC89" i="1"/>
  <c r="BB89" i="1"/>
  <c r="BA89" i="1"/>
  <c r="AZ89" i="1"/>
  <c r="AX89" i="1"/>
  <c r="AW89" i="1"/>
  <c r="BC88" i="1"/>
  <c r="BB88" i="1"/>
  <c r="BA88" i="1"/>
  <c r="AZ88" i="1"/>
  <c r="AX88" i="1"/>
  <c r="AW88" i="1"/>
  <c r="BC87" i="1"/>
  <c r="BB87" i="1"/>
  <c r="BA87" i="1"/>
  <c r="AZ87" i="1"/>
  <c r="AX87" i="1"/>
  <c r="AW87" i="1"/>
  <c r="BC86" i="1"/>
  <c r="BB86" i="1"/>
  <c r="BA86" i="1"/>
  <c r="AZ86" i="1"/>
  <c r="AX86" i="1"/>
  <c r="AW86" i="1"/>
  <c r="BC85" i="1"/>
  <c r="BB85" i="1"/>
  <c r="BA85" i="1"/>
  <c r="AZ85" i="1"/>
  <c r="AX85" i="1"/>
  <c r="AW85" i="1"/>
  <c r="BC84" i="1"/>
  <c r="BB84" i="1"/>
  <c r="BA84" i="1"/>
  <c r="AZ84" i="1"/>
  <c r="AX84" i="1"/>
  <c r="AW84" i="1"/>
  <c r="BC83" i="1"/>
  <c r="BB83" i="1"/>
  <c r="BA83" i="1"/>
  <c r="AZ83" i="1"/>
  <c r="AX83" i="1"/>
  <c r="AW83" i="1"/>
  <c r="BC82" i="1"/>
  <c r="BB82" i="1"/>
  <c r="BA82" i="1"/>
  <c r="AZ82" i="1"/>
  <c r="AX82" i="1"/>
  <c r="AW82" i="1"/>
  <c r="BC81" i="1"/>
  <c r="BB81" i="1"/>
  <c r="BA81" i="1"/>
  <c r="AZ81" i="1"/>
  <c r="AX81" i="1"/>
  <c r="AW81" i="1"/>
  <c r="BC80" i="1"/>
  <c r="BB80" i="1"/>
  <c r="BA80" i="1"/>
  <c r="AZ80" i="1"/>
  <c r="AX80" i="1"/>
  <c r="AW80" i="1"/>
  <c r="BC79" i="1"/>
  <c r="BB79" i="1"/>
  <c r="BA79" i="1"/>
  <c r="AZ79" i="1"/>
  <c r="AX79" i="1"/>
  <c r="AW79" i="1"/>
  <c r="BC78" i="1"/>
  <c r="BB78" i="1"/>
  <c r="BA78" i="1"/>
  <c r="AZ78" i="1"/>
  <c r="AX78" i="1"/>
  <c r="AW78" i="1"/>
  <c r="BC77" i="1"/>
  <c r="BB77" i="1"/>
  <c r="BA77" i="1"/>
  <c r="AZ77" i="1"/>
  <c r="AX77" i="1"/>
  <c r="AW77" i="1"/>
  <c r="BC76" i="1"/>
  <c r="BB76" i="1"/>
  <c r="BA76" i="1"/>
  <c r="AZ76" i="1"/>
  <c r="AX76" i="1"/>
  <c r="AW76" i="1"/>
  <c r="BC75" i="1"/>
  <c r="BB75" i="1"/>
  <c r="BA75" i="1"/>
  <c r="AZ75" i="1"/>
  <c r="AX75" i="1"/>
  <c r="AW75" i="1"/>
  <c r="BC74" i="1"/>
  <c r="BB74" i="1"/>
  <c r="BA74" i="1"/>
  <c r="AZ74" i="1"/>
  <c r="AX74" i="1"/>
  <c r="AW74" i="1"/>
  <c r="BC73" i="1"/>
  <c r="BB73" i="1"/>
  <c r="BA73" i="1"/>
  <c r="AZ73" i="1"/>
  <c r="AX73" i="1"/>
  <c r="AW73" i="1"/>
  <c r="BC72" i="1"/>
  <c r="BB72" i="1"/>
  <c r="BA72" i="1"/>
  <c r="AZ72" i="1"/>
  <c r="AX72" i="1"/>
  <c r="AW72" i="1"/>
  <c r="BC71" i="1"/>
  <c r="BB71" i="1"/>
  <c r="BA71" i="1"/>
  <c r="AZ71" i="1"/>
  <c r="AX71" i="1"/>
  <c r="AW71" i="1"/>
  <c r="BC70" i="1"/>
  <c r="BB70" i="1"/>
  <c r="BA70" i="1"/>
  <c r="AZ70" i="1"/>
  <c r="AX70" i="1"/>
  <c r="AW70" i="1"/>
  <c r="BC69" i="1"/>
  <c r="BB69" i="1"/>
  <c r="BA69" i="1"/>
  <c r="AZ69" i="1"/>
  <c r="AX69" i="1"/>
  <c r="AW69" i="1"/>
  <c r="BC68" i="1"/>
  <c r="BB68" i="1"/>
  <c r="BA68" i="1"/>
  <c r="AZ68" i="1"/>
  <c r="AX68" i="1"/>
  <c r="AW68" i="1"/>
  <c r="BC67" i="1"/>
  <c r="BB67" i="1"/>
  <c r="BA67" i="1"/>
  <c r="AZ67" i="1"/>
  <c r="AX67" i="1"/>
  <c r="AW67" i="1"/>
  <c r="BC66" i="1"/>
  <c r="BB66" i="1"/>
  <c r="BA66" i="1"/>
  <c r="AZ66" i="1"/>
  <c r="AY66" i="1"/>
  <c r="AW66" i="1"/>
  <c r="BC65" i="1"/>
  <c r="BB65" i="1"/>
  <c r="BA65" i="1"/>
  <c r="AZ65" i="1"/>
  <c r="AY65" i="1"/>
  <c r="AW65" i="1"/>
  <c r="BC64" i="1"/>
  <c r="BB64" i="1"/>
  <c r="BA64" i="1"/>
  <c r="AZ64" i="1"/>
  <c r="AY64" i="1"/>
  <c r="AW64" i="1"/>
  <c r="BC63" i="1"/>
  <c r="BB63" i="1"/>
  <c r="BA63" i="1"/>
  <c r="AZ63" i="1"/>
  <c r="AY63" i="1"/>
  <c r="AW63" i="1"/>
  <c r="BC62" i="1"/>
  <c r="BB62" i="1"/>
  <c r="BA62" i="1"/>
  <c r="AZ62" i="1"/>
  <c r="AY62" i="1"/>
  <c r="AW62" i="1"/>
  <c r="BC61" i="1"/>
  <c r="BB61" i="1"/>
  <c r="BA61" i="1"/>
  <c r="AZ61" i="1"/>
  <c r="AY61" i="1"/>
  <c r="AW61" i="1"/>
  <c r="BC60" i="1"/>
  <c r="BB60" i="1"/>
  <c r="BA60" i="1"/>
  <c r="AZ60" i="1"/>
  <c r="AY60" i="1"/>
  <c r="AW60" i="1"/>
  <c r="BC59" i="1"/>
  <c r="BB59" i="1"/>
  <c r="BA59" i="1"/>
  <c r="AZ59" i="1"/>
  <c r="AY59" i="1"/>
  <c r="AW59" i="1"/>
  <c r="BC58" i="1"/>
  <c r="BB58" i="1"/>
  <c r="BA58" i="1"/>
  <c r="AZ58" i="1"/>
  <c r="AY58" i="1"/>
  <c r="AW58" i="1"/>
  <c r="BC57" i="1"/>
  <c r="BB57" i="1"/>
  <c r="BA57" i="1"/>
  <c r="AZ57" i="1"/>
  <c r="AY57" i="1"/>
  <c r="AW57" i="1"/>
  <c r="BC56" i="1"/>
  <c r="BB56" i="1"/>
  <c r="BA56" i="1"/>
  <c r="AZ56" i="1"/>
  <c r="AY56" i="1"/>
  <c r="AW56" i="1"/>
  <c r="BC55" i="1"/>
  <c r="BB55" i="1"/>
  <c r="BA55" i="1"/>
  <c r="AZ55" i="1"/>
  <c r="AY55" i="1"/>
  <c r="AW55" i="1"/>
  <c r="BC54" i="1"/>
  <c r="BB54" i="1"/>
  <c r="BA54" i="1"/>
  <c r="AZ54" i="1"/>
  <c r="AY54" i="1"/>
  <c r="AW54" i="1"/>
  <c r="BC53" i="1"/>
  <c r="BB53" i="1"/>
  <c r="BA53" i="1"/>
  <c r="AZ53" i="1"/>
  <c r="AY53" i="1"/>
  <c r="AW53" i="1"/>
  <c r="BC52" i="1"/>
  <c r="BB52" i="1"/>
  <c r="BA52" i="1"/>
  <c r="AZ52" i="1"/>
  <c r="AY52" i="1"/>
  <c r="AW52" i="1"/>
  <c r="BC51" i="1"/>
  <c r="BB51" i="1"/>
  <c r="BA51" i="1"/>
  <c r="AZ51" i="1"/>
  <c r="AY51" i="1"/>
  <c r="AW51" i="1"/>
  <c r="BC50" i="1"/>
  <c r="BB50" i="1"/>
  <c r="BA50" i="1"/>
  <c r="AZ50" i="1"/>
  <c r="AY50" i="1"/>
  <c r="AW50" i="1"/>
  <c r="BC49" i="1"/>
  <c r="BB49" i="1"/>
  <c r="BA49" i="1"/>
  <c r="AZ49" i="1"/>
  <c r="AY49" i="1"/>
  <c r="AW49" i="1"/>
  <c r="BC48" i="1"/>
  <c r="BB48" i="1"/>
  <c r="BA48" i="1"/>
  <c r="AZ48" i="1"/>
  <c r="AY48" i="1"/>
  <c r="AW48" i="1"/>
  <c r="BC47" i="1"/>
  <c r="BB47" i="1"/>
  <c r="BA47" i="1"/>
  <c r="AZ47" i="1"/>
  <c r="AY47" i="1"/>
  <c r="AW47" i="1"/>
  <c r="BC46" i="1"/>
  <c r="BB46" i="1"/>
  <c r="BA46" i="1"/>
  <c r="AZ46" i="1"/>
  <c r="AY46" i="1"/>
  <c r="AW46" i="1"/>
  <c r="BC45" i="1"/>
  <c r="BB45" i="1"/>
  <c r="BA45" i="1"/>
  <c r="AZ45" i="1"/>
  <c r="AY45" i="1"/>
  <c r="AW45" i="1"/>
  <c r="BC44" i="1"/>
  <c r="BB44" i="1"/>
  <c r="BA44" i="1"/>
  <c r="AZ44" i="1"/>
  <c r="AY44" i="1"/>
  <c r="AW44" i="1"/>
  <c r="BC43" i="1"/>
  <c r="BB43" i="1"/>
  <c r="BA43" i="1"/>
  <c r="AZ43" i="1"/>
  <c r="AY43" i="1"/>
  <c r="AW43" i="1"/>
  <c r="BC42" i="1"/>
  <c r="BB42" i="1"/>
  <c r="BA42" i="1"/>
  <c r="AZ42" i="1"/>
  <c r="AY42" i="1"/>
  <c r="AW42" i="1"/>
  <c r="BC41" i="1"/>
  <c r="BB41" i="1"/>
  <c r="BA41" i="1"/>
  <c r="AZ41" i="1"/>
  <c r="AY41" i="1"/>
  <c r="AW41" i="1"/>
  <c r="BC40" i="1"/>
  <c r="BB40" i="1"/>
  <c r="BA40" i="1"/>
  <c r="AZ40" i="1"/>
  <c r="AY40" i="1"/>
  <c r="AW40" i="1"/>
  <c r="BC39" i="1"/>
  <c r="BB39" i="1"/>
  <c r="BA39" i="1"/>
  <c r="AZ39" i="1"/>
  <c r="AY39" i="1"/>
  <c r="AW39" i="1"/>
  <c r="BC38" i="1"/>
  <c r="BB38" i="1"/>
  <c r="BA38" i="1"/>
  <c r="AZ38" i="1"/>
  <c r="AY38" i="1"/>
  <c r="AX38" i="1"/>
  <c r="BC37" i="1"/>
  <c r="BB37" i="1"/>
  <c r="BA37" i="1"/>
  <c r="AZ37" i="1"/>
  <c r="AY37" i="1"/>
  <c r="AX37" i="1"/>
  <c r="BC36" i="1"/>
  <c r="BB36" i="1"/>
  <c r="BA36" i="1"/>
  <c r="AZ36" i="1"/>
  <c r="AY36" i="1"/>
  <c r="AX36" i="1"/>
  <c r="BC35" i="1"/>
  <c r="BB35" i="1"/>
  <c r="BA35" i="1"/>
  <c r="AZ35" i="1"/>
  <c r="AY35" i="1"/>
  <c r="AX35" i="1"/>
  <c r="BC34" i="1"/>
  <c r="BB34" i="1"/>
  <c r="BA34" i="1"/>
  <c r="AZ34" i="1"/>
  <c r="AY34" i="1"/>
  <c r="AX34" i="1"/>
  <c r="BC33" i="1"/>
  <c r="BB33" i="1"/>
  <c r="BA33" i="1"/>
  <c r="AZ33" i="1"/>
  <c r="AY33" i="1"/>
  <c r="AX33" i="1"/>
  <c r="BC32" i="1"/>
  <c r="BB32" i="1"/>
  <c r="BA32" i="1"/>
  <c r="AZ32" i="1"/>
  <c r="AY32" i="1"/>
  <c r="AX32" i="1"/>
  <c r="BC31" i="1"/>
  <c r="BB31" i="1"/>
  <c r="BA31" i="1"/>
  <c r="AZ31" i="1"/>
  <c r="AY31" i="1"/>
  <c r="AX31" i="1"/>
  <c r="BC30" i="1"/>
  <c r="BB30" i="1"/>
  <c r="BA30" i="1"/>
  <c r="AZ30" i="1"/>
  <c r="AY30" i="1"/>
  <c r="AX30" i="1"/>
  <c r="BC29" i="1"/>
  <c r="BB29" i="1"/>
  <c r="BA29" i="1"/>
  <c r="AZ29" i="1"/>
  <c r="AY29" i="1"/>
  <c r="AX29" i="1"/>
  <c r="BC28" i="1"/>
  <c r="BB28" i="1"/>
  <c r="BA28" i="1"/>
  <c r="AZ28" i="1"/>
  <c r="AY28" i="1"/>
  <c r="AX28" i="1"/>
  <c r="BC27" i="1"/>
  <c r="BB27" i="1"/>
  <c r="BA27" i="1"/>
  <c r="AZ27" i="1"/>
  <c r="AY27" i="1"/>
  <c r="AX27" i="1"/>
  <c r="BC26" i="1"/>
  <c r="BB26" i="1"/>
  <c r="BA26" i="1"/>
  <c r="AZ26" i="1"/>
  <c r="AY26" i="1"/>
  <c r="AX26" i="1"/>
  <c r="BC25" i="1"/>
  <c r="BB25" i="1"/>
  <c r="BA25" i="1"/>
  <c r="AZ25" i="1"/>
  <c r="AY25" i="1"/>
  <c r="AX25" i="1"/>
  <c r="BC24" i="1"/>
  <c r="BB24" i="1"/>
  <c r="BA24" i="1"/>
  <c r="AZ24" i="1"/>
  <c r="AY24" i="1"/>
  <c r="AX24" i="1"/>
  <c r="BC23" i="1"/>
  <c r="BB23" i="1"/>
  <c r="BA23" i="1"/>
  <c r="AZ23" i="1"/>
  <c r="AY23" i="1"/>
  <c r="AX23" i="1"/>
  <c r="BC22" i="1"/>
  <c r="BB22" i="1"/>
  <c r="BA22" i="1"/>
  <c r="AZ22" i="1"/>
  <c r="AY22" i="1"/>
  <c r="AX22" i="1"/>
  <c r="BC21" i="1"/>
  <c r="BB21" i="1"/>
  <c r="BA21" i="1"/>
  <c r="AZ21" i="1"/>
  <c r="AY21" i="1"/>
  <c r="AX21" i="1"/>
  <c r="BC20" i="1"/>
  <c r="BB20" i="1"/>
  <c r="BA20" i="1"/>
  <c r="AZ20" i="1"/>
  <c r="AY20" i="1"/>
  <c r="AX20" i="1"/>
  <c r="BC19" i="1"/>
  <c r="BB19" i="1"/>
  <c r="BA19" i="1"/>
  <c r="AZ19" i="1"/>
  <c r="AY19" i="1"/>
  <c r="AX19" i="1"/>
  <c r="BC18" i="1"/>
  <c r="BB18" i="1"/>
  <c r="BA18" i="1"/>
  <c r="AZ18" i="1"/>
  <c r="AY18" i="1"/>
  <c r="AX18" i="1"/>
  <c r="BC17" i="1"/>
  <c r="BB17" i="1"/>
  <c r="BA17" i="1"/>
  <c r="AZ17" i="1"/>
  <c r="AY17" i="1"/>
  <c r="AX17" i="1"/>
  <c r="BC16" i="1"/>
  <c r="BB16" i="1"/>
  <c r="BA16" i="1"/>
  <c r="AZ16" i="1"/>
  <c r="AY16" i="1"/>
  <c r="AX16" i="1"/>
  <c r="BC15" i="1"/>
  <c r="BB15" i="1"/>
  <c r="BA15" i="1"/>
  <c r="AZ15" i="1"/>
  <c r="AY15" i="1"/>
  <c r="AX15" i="1"/>
  <c r="BC14" i="1"/>
  <c r="BB14" i="1"/>
  <c r="BA14" i="1"/>
  <c r="AZ14" i="1"/>
  <c r="AY14" i="1"/>
  <c r="AX14" i="1"/>
  <c r="BC13" i="1"/>
  <c r="BB13" i="1"/>
  <c r="BA13" i="1"/>
  <c r="AZ13" i="1"/>
  <c r="AY13" i="1"/>
  <c r="AX13" i="1"/>
  <c r="BC12" i="1"/>
  <c r="BB12" i="1"/>
  <c r="BA12" i="1"/>
  <c r="AZ12" i="1"/>
  <c r="AY12" i="1"/>
  <c r="AX12" i="1"/>
  <c r="BC11" i="1"/>
  <c r="BB11" i="1"/>
  <c r="BA11" i="1"/>
  <c r="AZ11" i="1"/>
  <c r="AY11" i="1"/>
  <c r="AX11" i="1"/>
  <c r="J11" i="1"/>
  <c r="AW11" i="1" s="1"/>
  <c r="D28" i="2"/>
  <c r="D27" i="2"/>
  <c r="D26" i="2"/>
  <c r="D25" i="2"/>
  <c r="D24" i="2"/>
  <c r="D23" i="2"/>
  <c r="D22" i="2"/>
  <c r="D21" i="2"/>
  <c r="D20" i="2"/>
  <c r="D19" i="2"/>
  <c r="A13" i="2"/>
  <c r="A12" i="2"/>
  <c r="A11" i="2"/>
  <c r="A10" i="2"/>
  <c r="A9" i="2"/>
  <c r="A8" i="2"/>
  <c r="A7" i="2"/>
  <c r="A6" i="2"/>
  <c r="A5" i="2"/>
  <c r="A4" i="2"/>
  <c r="L19" i="6" l="1"/>
  <c r="AT19" i="6"/>
  <c r="I20" i="6"/>
  <c r="N18" i="6"/>
  <c r="AN15" i="1"/>
  <c r="AN18" i="1"/>
  <c r="AN19" i="1"/>
  <c r="AN17" i="1"/>
  <c r="AN12" i="1"/>
  <c r="AN16" i="1"/>
  <c r="AN20" i="1"/>
  <c r="I12" i="1"/>
  <c r="AN11" i="1"/>
  <c r="AT18" i="3"/>
  <c r="AG19" i="3"/>
  <c r="AG20" i="3"/>
  <c r="AG21" i="3"/>
  <c r="K19" i="3"/>
  <c r="J19" i="3"/>
  <c r="AG26" i="3"/>
  <c r="AG25" i="3"/>
  <c r="AG24" i="3"/>
  <c r="AG22" i="3"/>
  <c r="AG18" i="3"/>
  <c r="AJ12" i="1"/>
  <c r="AJ13" i="1"/>
  <c r="AJ15" i="1"/>
  <c r="AJ18" i="1"/>
  <c r="AJ14" i="1"/>
  <c r="AJ17" i="1"/>
  <c r="AJ19" i="1"/>
  <c r="AJ11" i="1"/>
  <c r="AN13" i="1"/>
  <c r="J20" i="6" l="1"/>
  <c r="K20" i="6"/>
  <c r="J12" i="1"/>
  <c r="K12" i="1"/>
  <c r="I20" i="3"/>
  <c r="H20" i="3" s="1"/>
  <c r="AT19" i="3"/>
  <c r="L19" i="3"/>
  <c r="L20" i="6" l="1"/>
  <c r="AT20" i="6"/>
  <c r="N19" i="6"/>
  <c r="I21" i="6"/>
  <c r="L12" i="1"/>
  <c r="AW12" i="1"/>
  <c r="I13" i="1"/>
  <c r="K20" i="3"/>
  <c r="J20" i="3"/>
  <c r="J21" i="6" l="1"/>
  <c r="K21" i="6"/>
  <c r="K13" i="1"/>
  <c r="J13" i="1"/>
  <c r="I21" i="3"/>
  <c r="H21" i="3" s="1"/>
  <c r="AT20" i="3"/>
  <c r="L20" i="3"/>
  <c r="L21" i="6" l="1"/>
  <c r="I22" i="6"/>
  <c r="AT21" i="6"/>
  <c r="N20" i="6"/>
  <c r="L13" i="1"/>
  <c r="I14" i="1"/>
  <c r="AW13" i="1"/>
  <c r="K21" i="3"/>
  <c r="J21" i="3"/>
  <c r="J22" i="6" l="1"/>
  <c r="K22" i="6"/>
  <c r="K14" i="1"/>
  <c r="J14" i="1"/>
  <c r="L21" i="3"/>
  <c r="I22" i="3"/>
  <c r="AT21" i="3"/>
  <c r="L22" i="6" l="1"/>
  <c r="I23" i="6"/>
  <c r="N21" i="6"/>
  <c r="AT22" i="6"/>
  <c r="I15" i="1"/>
  <c r="AW14" i="1"/>
  <c r="L14" i="1"/>
  <c r="K22" i="3"/>
  <c r="J22" i="3"/>
  <c r="J23" i="6" l="1"/>
  <c r="K23" i="6"/>
  <c r="J15" i="1"/>
  <c r="K15" i="1"/>
  <c r="I23" i="3"/>
  <c r="AT22" i="3"/>
  <c r="L22" i="3"/>
  <c r="L23" i="6" l="1"/>
  <c r="N22" i="6"/>
  <c r="I24" i="6"/>
  <c r="AT23" i="6"/>
  <c r="L15" i="1"/>
  <c r="I16" i="1"/>
  <c r="AW15" i="1"/>
  <c r="K23" i="3"/>
  <c r="J23" i="3"/>
  <c r="K24" i="6" l="1"/>
  <c r="L24" i="6" s="1"/>
  <c r="J24" i="6"/>
  <c r="J16" i="1"/>
  <c r="K16" i="1"/>
  <c r="I24" i="3"/>
  <c r="AT23" i="3"/>
  <c r="L23" i="3"/>
  <c r="AT24" i="6" l="1"/>
  <c r="I25" i="6"/>
  <c r="H25" i="6" s="1"/>
  <c r="N23" i="6"/>
  <c r="I17" i="1"/>
  <c r="AW16" i="1"/>
  <c r="L16" i="1"/>
  <c r="K24" i="3"/>
  <c r="L24" i="3" s="1"/>
  <c r="J24" i="3"/>
  <c r="J17" i="1" l="1"/>
  <c r="K17" i="1"/>
  <c r="L17" i="1" s="1"/>
  <c r="I25" i="3"/>
  <c r="H25" i="3" s="1"/>
  <c r="AT24" i="3"/>
  <c r="K25" i="6" l="1"/>
  <c r="L25" i="6" s="1"/>
  <c r="J25" i="6"/>
  <c r="I18" i="1"/>
  <c r="AW17" i="1"/>
  <c r="K25" i="3"/>
  <c r="J25" i="3"/>
  <c r="AT25" i="6" l="1"/>
  <c r="I26" i="6"/>
  <c r="H26" i="6" s="1"/>
  <c r="N24" i="6"/>
  <c r="J18" i="1"/>
  <c r="K18" i="1"/>
  <c r="I26" i="3"/>
  <c r="H26" i="3" s="1"/>
  <c r="AT25" i="3"/>
  <c r="L25" i="3"/>
  <c r="I19" i="1" l="1"/>
  <c r="AW18" i="1"/>
  <c r="L18" i="1"/>
  <c r="K26" i="3"/>
  <c r="J26" i="3"/>
  <c r="K26" i="6" l="1"/>
  <c r="L26" i="6" s="1"/>
  <c r="J26" i="6"/>
  <c r="J19" i="1"/>
  <c r="K19" i="1"/>
  <c r="AT26" i="3"/>
  <c r="I27" i="3"/>
  <c r="H27" i="3" s="1"/>
  <c r="L26" i="3"/>
  <c r="AT26" i="6" l="1"/>
  <c r="I27" i="6"/>
  <c r="N25" i="6"/>
  <c r="L19" i="1"/>
  <c r="I20" i="1"/>
  <c r="AW19" i="1"/>
  <c r="K27" i="3"/>
  <c r="L27" i="3" s="1"/>
  <c r="J27" i="3"/>
  <c r="J27" i="6" l="1"/>
  <c r="K27" i="6"/>
  <c r="L27" i="6" s="1"/>
  <c r="J20" i="1"/>
  <c r="K20" i="1"/>
  <c r="L20" i="1" s="1"/>
  <c r="AT27" i="3"/>
  <c r="I28" i="3"/>
  <c r="H28" i="3" s="1"/>
  <c r="N26" i="6" l="1"/>
  <c r="I28" i="6"/>
  <c r="AT27" i="6"/>
  <c r="I21" i="1"/>
  <c r="AW20" i="1"/>
  <c r="J28" i="3"/>
  <c r="K28" i="3"/>
  <c r="L28" i="3" s="1"/>
  <c r="J28" i="6" l="1"/>
  <c r="K28" i="6"/>
  <c r="L28" i="6" s="1"/>
  <c r="J21" i="1"/>
  <c r="K21" i="1"/>
  <c r="L21" i="1" s="1"/>
  <c r="AT28" i="3"/>
  <c r="I29" i="3"/>
  <c r="N27" i="6" l="1"/>
  <c r="I29" i="6"/>
  <c r="AT28" i="6"/>
  <c r="I22" i="1"/>
  <c r="AW21" i="1"/>
  <c r="K29" i="3"/>
  <c r="L29" i="3" s="1"/>
  <c r="J29" i="3"/>
  <c r="J29" i="6" l="1"/>
  <c r="K29" i="6"/>
  <c r="L29" i="6" s="1"/>
  <c r="J22" i="1"/>
  <c r="K22" i="1"/>
  <c r="L22" i="1" s="1"/>
  <c r="I30" i="3"/>
  <c r="AT29" i="3"/>
  <c r="N28" i="6" l="1"/>
  <c r="AT29" i="6"/>
  <c r="I30" i="6"/>
  <c r="I23" i="1"/>
  <c r="AW22" i="1"/>
  <c r="K30" i="3"/>
  <c r="L30" i="3" s="1"/>
  <c r="J30" i="3"/>
  <c r="J30" i="6" l="1"/>
  <c r="K30" i="6"/>
  <c r="L30" i="6" s="1"/>
  <c r="J23" i="1"/>
  <c r="K23" i="1"/>
  <c r="L23" i="1" s="1"/>
  <c r="I31" i="3"/>
  <c r="AT30" i="3"/>
  <c r="N29" i="6" l="1"/>
  <c r="AT30" i="6"/>
  <c r="I31" i="6"/>
  <c r="I24" i="1"/>
  <c r="AW23" i="1"/>
  <c r="K31" i="3"/>
  <c r="L31" i="3" s="1"/>
  <c r="J31" i="3"/>
  <c r="M31" i="3" s="1"/>
  <c r="J31" i="6" l="1"/>
  <c r="K31" i="6"/>
  <c r="L31" i="6" s="1"/>
  <c r="J24" i="1"/>
  <c r="K24" i="1"/>
  <c r="L24" i="1" s="1"/>
  <c r="I32" i="3"/>
  <c r="H32" i="3" s="1"/>
  <c r="AT31" i="3"/>
  <c r="AT31" i="6" l="1"/>
  <c r="N30" i="6"/>
  <c r="M31" i="6"/>
  <c r="P2" i="6" s="1"/>
  <c r="I32" i="6"/>
  <c r="H32" i="6" s="1"/>
  <c r="I25" i="1"/>
  <c r="AW24" i="1"/>
  <c r="K32" i="3"/>
  <c r="L32" i="3" s="1"/>
  <c r="J32" i="3"/>
  <c r="AU32" i="3" s="1"/>
  <c r="J32" i="6" l="1"/>
  <c r="J25" i="1"/>
  <c r="K25" i="1"/>
  <c r="L25" i="1" s="1"/>
  <c r="AT32" i="3"/>
  <c r="I33" i="3"/>
  <c r="H33" i="3" s="1"/>
  <c r="AU32" i="6" l="1"/>
  <c r="N31" i="6"/>
  <c r="I33" i="6"/>
  <c r="H33" i="6" s="1"/>
  <c r="K32" i="6"/>
  <c r="L32" i="6" s="1"/>
  <c r="I26" i="1"/>
  <c r="AW25" i="1"/>
  <c r="K33" i="3"/>
  <c r="L33" i="3" s="1"/>
  <c r="J33" i="3"/>
  <c r="AU33" i="3" s="1"/>
  <c r="J26" i="1" l="1"/>
  <c r="K26" i="1"/>
  <c r="L26" i="1" s="1"/>
  <c r="AT33" i="3"/>
  <c r="I34" i="3"/>
  <c r="H34" i="3" s="1"/>
  <c r="K33" i="6" l="1"/>
  <c r="L33" i="6" s="1"/>
  <c r="J33" i="6"/>
  <c r="I27" i="1"/>
  <c r="AW26" i="1"/>
  <c r="K34" i="3"/>
  <c r="L34" i="3" s="1"/>
  <c r="J34" i="3"/>
  <c r="AU34" i="3" s="1"/>
  <c r="AU33" i="6" l="1"/>
  <c r="N32" i="6"/>
  <c r="I34" i="6"/>
  <c r="H34" i="6" s="1"/>
  <c r="J27" i="1"/>
  <c r="K27" i="1"/>
  <c r="L27" i="1" s="1"/>
  <c r="I35" i="3"/>
  <c r="H35" i="3" s="1"/>
  <c r="AT34" i="3"/>
  <c r="K34" i="6" l="1"/>
  <c r="L34" i="6" s="1"/>
  <c r="I28" i="1"/>
  <c r="AW27" i="1"/>
  <c r="K35" i="3"/>
  <c r="L35" i="3" s="1"/>
  <c r="J35" i="3"/>
  <c r="AU35" i="3" s="1"/>
  <c r="J34" i="6" l="1"/>
  <c r="AU34" i="6" s="1"/>
  <c r="J28" i="1"/>
  <c r="K28" i="1"/>
  <c r="L28" i="1" s="1"/>
  <c r="I36" i="3"/>
  <c r="AT35" i="3"/>
  <c r="I35" i="6" l="1"/>
  <c r="H35" i="6" s="1"/>
  <c r="K35" i="6" s="1"/>
  <c r="L35" i="6" s="1"/>
  <c r="N33" i="6"/>
  <c r="I29" i="1"/>
  <c r="AW28" i="1"/>
  <c r="K36" i="3"/>
  <c r="L36" i="3" s="1"/>
  <c r="J36" i="3"/>
  <c r="AU36" i="3" s="1"/>
  <c r="J35" i="6" l="1"/>
  <c r="J29" i="1"/>
  <c r="K29" i="1"/>
  <c r="L29" i="1" s="1"/>
  <c r="AT36" i="3"/>
  <c r="I37" i="3"/>
  <c r="AU35" i="6" l="1"/>
  <c r="N34" i="6"/>
  <c r="I36" i="6"/>
  <c r="I30" i="1"/>
  <c r="AW29" i="1"/>
  <c r="K37" i="3"/>
  <c r="L37" i="3" s="1"/>
  <c r="J37" i="3"/>
  <c r="AU37" i="3" s="1"/>
  <c r="J36" i="6" l="1"/>
  <c r="K36" i="6"/>
  <c r="L36" i="6" s="1"/>
  <c r="J30" i="1"/>
  <c r="K30" i="1"/>
  <c r="L30" i="1" s="1"/>
  <c r="AT37" i="3"/>
  <c r="I38" i="3"/>
  <c r="AU36" i="6" l="1"/>
  <c r="N35" i="6"/>
  <c r="I37" i="6"/>
  <c r="I31" i="1"/>
  <c r="AW30" i="1"/>
  <c r="J38" i="3"/>
  <c r="AU38" i="3" s="1"/>
  <c r="K38" i="3"/>
  <c r="L38" i="3" s="1"/>
  <c r="J37" i="6" l="1"/>
  <c r="K37" i="6"/>
  <c r="L37" i="6" s="1"/>
  <c r="J31" i="1"/>
  <c r="K31" i="1"/>
  <c r="L31" i="1" s="1"/>
  <c r="I39" i="3"/>
  <c r="H39" i="3" s="1"/>
  <c r="AT38" i="3"/>
  <c r="AU37" i="6" l="1"/>
  <c r="N36" i="6"/>
  <c r="I38" i="6"/>
  <c r="I32" i="1"/>
  <c r="AW31" i="1"/>
  <c r="K39" i="3"/>
  <c r="L39" i="3" s="1"/>
  <c r="J39" i="3"/>
  <c r="AU39" i="3" s="1"/>
  <c r="J38" i="6" l="1"/>
  <c r="K38" i="6"/>
  <c r="L38" i="6" s="1"/>
  <c r="J32" i="1"/>
  <c r="K32" i="1"/>
  <c r="L32" i="1" s="1"/>
  <c r="I40" i="3"/>
  <c r="H40" i="3" s="1"/>
  <c r="AT39" i="3"/>
  <c r="AU38" i="6" l="1"/>
  <c r="N37" i="6"/>
  <c r="I39" i="6"/>
  <c r="H39" i="6" s="1"/>
  <c r="I33" i="1"/>
  <c r="AW32" i="1"/>
  <c r="K40" i="3"/>
  <c r="L40" i="3" s="1"/>
  <c r="J40" i="3"/>
  <c r="AU40" i="3" s="1"/>
  <c r="K39" i="6" l="1"/>
  <c r="L39" i="6" s="1"/>
  <c r="J33" i="1"/>
  <c r="K33" i="1"/>
  <c r="L33" i="1" s="1"/>
  <c r="AT40" i="3"/>
  <c r="I41" i="3"/>
  <c r="H41" i="3" s="1"/>
  <c r="J39" i="6" l="1"/>
  <c r="I34" i="1"/>
  <c r="AW33" i="1"/>
  <c r="K41" i="3"/>
  <c r="L41" i="3" s="1"/>
  <c r="J41" i="3"/>
  <c r="AU41" i="3" s="1"/>
  <c r="I40" i="6" l="1"/>
  <c r="H40" i="6" s="1"/>
  <c r="N38" i="6"/>
  <c r="AU39" i="6"/>
  <c r="J34" i="1"/>
  <c r="K34" i="1"/>
  <c r="L34" i="1" s="1"/>
  <c r="AT41" i="3"/>
  <c r="I42" i="3"/>
  <c r="H42" i="3" s="1"/>
  <c r="K40" i="6" l="1"/>
  <c r="L40" i="6" s="1"/>
  <c r="I35" i="1"/>
  <c r="AW34" i="1"/>
  <c r="K42" i="3"/>
  <c r="L42" i="3" s="1"/>
  <c r="J42" i="3"/>
  <c r="AU42" i="3" s="1"/>
  <c r="J40" i="6" l="1"/>
  <c r="I41" i="6" s="1"/>
  <c r="H41" i="6" s="1"/>
  <c r="J35" i="1"/>
  <c r="K35" i="1"/>
  <c r="L35" i="1" s="1"/>
  <c r="I43" i="3"/>
  <c r="AT42" i="3"/>
  <c r="AU40" i="6" l="1"/>
  <c r="N39" i="6"/>
  <c r="K41" i="6"/>
  <c r="L41" i="6" s="1"/>
  <c r="I36" i="1"/>
  <c r="AW35" i="1"/>
  <c r="K43" i="3"/>
  <c r="L43" i="3" s="1"/>
  <c r="J43" i="3"/>
  <c r="AU43" i="3" s="1"/>
  <c r="J41" i="6" l="1"/>
  <c r="J36" i="1"/>
  <c r="K36" i="1"/>
  <c r="L36" i="1" s="1"/>
  <c r="I44" i="3"/>
  <c r="AT43" i="3"/>
  <c r="I42" i="6" l="1"/>
  <c r="H42" i="6" s="1"/>
  <c r="AU41" i="6"/>
  <c r="N40" i="6"/>
  <c r="I37" i="1"/>
  <c r="AW36" i="1"/>
  <c r="K44" i="3"/>
  <c r="L44" i="3" s="1"/>
  <c r="J44" i="3"/>
  <c r="AU44" i="3" s="1"/>
  <c r="K42" i="6" l="1"/>
  <c r="L42" i="6" s="1"/>
  <c r="J37" i="1"/>
  <c r="K37" i="1"/>
  <c r="L37" i="1" s="1"/>
  <c r="AT44" i="3"/>
  <c r="I45" i="3"/>
  <c r="J42" i="6" l="1"/>
  <c r="I38" i="1"/>
  <c r="AW37" i="1"/>
  <c r="K45" i="3"/>
  <c r="L45" i="3" s="1"/>
  <c r="J45" i="3"/>
  <c r="AU45" i="3" s="1"/>
  <c r="I43" i="6" l="1"/>
  <c r="AU42" i="6"/>
  <c r="N41" i="6"/>
  <c r="J38" i="1"/>
  <c r="K38" i="1"/>
  <c r="L38" i="1" s="1"/>
  <c r="AT45" i="3"/>
  <c r="M45" i="3"/>
  <c r="P2" i="3" s="1"/>
  <c r="I46" i="3"/>
  <c r="H46" i="3" s="1"/>
  <c r="J43" i="6" l="1"/>
  <c r="K43" i="6"/>
  <c r="L43" i="6" s="1"/>
  <c r="I39" i="1"/>
  <c r="AW38" i="1"/>
  <c r="M38" i="1"/>
  <c r="S2" i="1" s="1"/>
  <c r="K46" i="3"/>
  <c r="L46" i="3" s="1"/>
  <c r="J46" i="3"/>
  <c r="AV46" i="3" s="1"/>
  <c r="I44" i="6" l="1"/>
  <c r="N42" i="6"/>
  <c r="AU43" i="6"/>
  <c r="J39" i="1"/>
  <c r="K39" i="1"/>
  <c r="L39" i="1" s="1"/>
  <c r="I47" i="3"/>
  <c r="H47" i="3" s="1"/>
  <c r="AU46" i="3"/>
  <c r="J44" i="6" l="1"/>
  <c r="K44" i="6"/>
  <c r="L44" i="6" s="1"/>
  <c r="I40" i="1"/>
  <c r="AX39" i="1"/>
  <c r="K47" i="3"/>
  <c r="L47" i="3" s="1"/>
  <c r="J47" i="3"/>
  <c r="AV47" i="3" s="1"/>
  <c r="I45" i="6" l="1"/>
  <c r="N43" i="6"/>
  <c r="AU44" i="6"/>
  <c r="J40" i="1"/>
  <c r="K40" i="1"/>
  <c r="L40" i="1" s="1"/>
  <c r="I48" i="3"/>
  <c r="H48" i="3" s="1"/>
  <c r="AU47" i="3"/>
  <c r="J45" i="6" l="1"/>
  <c r="K45" i="6"/>
  <c r="L45" i="6" s="1"/>
  <c r="I41" i="1"/>
  <c r="AX40" i="1"/>
  <c r="K48" i="3"/>
  <c r="L48" i="3" s="1"/>
  <c r="J48" i="3"/>
  <c r="AV48" i="3" s="1"/>
  <c r="M45" i="6" l="1"/>
  <c r="P3" i="6" s="1"/>
  <c r="I46" i="6"/>
  <c r="H46" i="6" s="1"/>
  <c r="AU45" i="6"/>
  <c r="N44" i="6"/>
  <c r="J41" i="1"/>
  <c r="K41" i="1"/>
  <c r="L41" i="1" s="1"/>
  <c r="AU48" i="3"/>
  <c r="I49" i="3"/>
  <c r="H49" i="3" s="1"/>
  <c r="K46" i="6" l="1"/>
  <c r="L46" i="6" s="1"/>
  <c r="I42" i="1"/>
  <c r="AX41" i="1"/>
  <c r="K49" i="3"/>
  <c r="L49" i="3" s="1"/>
  <c r="J49" i="3"/>
  <c r="AV49" i="3" s="1"/>
  <c r="J46" i="6" l="1"/>
  <c r="J42" i="1"/>
  <c r="K42" i="1"/>
  <c r="L42" i="1" s="1"/>
  <c r="AU49" i="3"/>
  <c r="I50" i="3"/>
  <c r="H50" i="3" s="1"/>
  <c r="I47" i="6" l="1"/>
  <c r="H47" i="6" s="1"/>
  <c r="N45" i="6"/>
  <c r="AV46" i="6"/>
  <c r="I43" i="1"/>
  <c r="AX42" i="1"/>
  <c r="K50" i="3"/>
  <c r="L50" i="3" s="1"/>
  <c r="J50" i="3"/>
  <c r="AV50" i="3" s="1"/>
  <c r="K47" i="6" l="1"/>
  <c r="L47" i="6" s="1"/>
  <c r="J43" i="1"/>
  <c r="K43" i="1"/>
  <c r="L43" i="1" s="1"/>
  <c r="I51" i="3"/>
  <c r="AU50" i="3"/>
  <c r="J47" i="6" l="1"/>
  <c r="I44" i="1"/>
  <c r="AX43" i="1"/>
  <c r="K51" i="3"/>
  <c r="L51" i="3" s="1"/>
  <c r="J51" i="3"/>
  <c r="AV51" i="3" s="1"/>
  <c r="N46" i="6" l="1"/>
  <c r="I48" i="6"/>
  <c r="H48" i="6" s="1"/>
  <c r="AV47" i="6"/>
  <c r="J44" i="1"/>
  <c r="K44" i="1"/>
  <c r="L44" i="1" s="1"/>
  <c r="I52" i="3"/>
  <c r="AU51" i="3"/>
  <c r="K48" i="6" l="1"/>
  <c r="L48" i="6" s="1"/>
  <c r="I45" i="1"/>
  <c r="AX44" i="1"/>
  <c r="K52" i="3"/>
  <c r="L52" i="3" s="1"/>
  <c r="J52" i="3"/>
  <c r="AV52" i="3" s="1"/>
  <c r="J48" i="6" l="1"/>
  <c r="J45" i="1"/>
  <c r="K45" i="1"/>
  <c r="L45" i="1" s="1"/>
  <c r="AU52" i="3"/>
  <c r="I53" i="3"/>
  <c r="H53" i="3" s="1"/>
  <c r="N47" i="6" l="1"/>
  <c r="AV48" i="6"/>
  <c r="I49" i="6"/>
  <c r="H49" i="6" s="1"/>
  <c r="I46" i="1"/>
  <c r="AX45" i="1"/>
  <c r="K53" i="3"/>
  <c r="L53" i="3" s="1"/>
  <c r="J53" i="3"/>
  <c r="AV53" i="3" s="1"/>
  <c r="K49" i="6" l="1"/>
  <c r="L49" i="6" s="1"/>
  <c r="J46" i="1"/>
  <c r="K46" i="1"/>
  <c r="L46" i="1" s="1"/>
  <c r="AU53" i="3"/>
  <c r="I54" i="3"/>
  <c r="H54" i="3" s="1"/>
  <c r="J49" i="6" l="1"/>
  <c r="I47" i="1"/>
  <c r="AX46" i="1"/>
  <c r="K54" i="3"/>
  <c r="L54" i="3" s="1"/>
  <c r="J54" i="3"/>
  <c r="AV54" i="3" s="1"/>
  <c r="AV49" i="6" l="1"/>
  <c r="N48" i="6"/>
  <c r="I50" i="6"/>
  <c r="J47" i="1"/>
  <c r="K47" i="1"/>
  <c r="L47" i="1" s="1"/>
  <c r="I55" i="3"/>
  <c r="H55" i="3" s="1"/>
  <c r="AU54" i="3"/>
  <c r="J50" i="6" l="1"/>
  <c r="K50" i="6"/>
  <c r="L50" i="6" s="1"/>
  <c r="I48" i="1"/>
  <c r="AX47" i="1"/>
  <c r="K55" i="3"/>
  <c r="L55" i="3" s="1"/>
  <c r="J55" i="3"/>
  <c r="AV55" i="3" s="1"/>
  <c r="AV50" i="6" l="1"/>
  <c r="N49" i="6"/>
  <c r="I51" i="6"/>
  <c r="J48" i="1"/>
  <c r="K48" i="1"/>
  <c r="L48" i="1" s="1"/>
  <c r="I56" i="3"/>
  <c r="H56" i="3" s="1"/>
  <c r="AU55" i="3"/>
  <c r="J51" i="6" l="1"/>
  <c r="K51" i="6"/>
  <c r="L51" i="6" s="1"/>
  <c r="I49" i="1"/>
  <c r="AX48" i="1"/>
  <c r="K56" i="3"/>
  <c r="L56" i="3" s="1"/>
  <c r="J56" i="3"/>
  <c r="AV56" i="3" s="1"/>
  <c r="AV51" i="6" l="1"/>
  <c r="N50" i="6"/>
  <c r="I52" i="6"/>
  <c r="J49" i="1"/>
  <c r="K49" i="1"/>
  <c r="L49" i="1" s="1"/>
  <c r="AU56" i="3"/>
  <c r="I57" i="3"/>
  <c r="H57" i="3" s="1"/>
  <c r="J52" i="6" l="1"/>
  <c r="K52" i="6"/>
  <c r="L52" i="6" s="1"/>
  <c r="I50" i="1"/>
  <c r="AX49" i="1"/>
  <c r="K57" i="3"/>
  <c r="L57" i="3" s="1"/>
  <c r="J57" i="3"/>
  <c r="AV57" i="3" s="1"/>
  <c r="AV52" i="6" l="1"/>
  <c r="N51" i="6"/>
  <c r="I53" i="6"/>
  <c r="H53" i="6" s="1"/>
  <c r="J50" i="1"/>
  <c r="K50" i="1"/>
  <c r="L50" i="1" s="1"/>
  <c r="AU57" i="3"/>
  <c r="I58" i="3"/>
  <c r="K53" i="6" l="1"/>
  <c r="L53" i="6" s="1"/>
  <c r="I51" i="1"/>
  <c r="AX50" i="1"/>
  <c r="K58" i="3"/>
  <c r="L58" i="3" s="1"/>
  <c r="J58" i="3"/>
  <c r="AV58" i="3" s="1"/>
  <c r="J53" i="6" l="1"/>
  <c r="J51" i="1"/>
  <c r="K51" i="1"/>
  <c r="L51" i="1" s="1"/>
  <c r="I59" i="3"/>
  <c r="AU58" i="3"/>
  <c r="AV53" i="6" l="1"/>
  <c r="N52" i="6"/>
  <c r="I54" i="6"/>
  <c r="H54" i="6" s="1"/>
  <c r="I52" i="1"/>
  <c r="AX51" i="1"/>
  <c r="K59" i="3"/>
  <c r="L59" i="3" s="1"/>
  <c r="J59" i="3"/>
  <c r="K54" i="6" l="1"/>
  <c r="L54" i="6" s="1"/>
  <c r="J52" i="1"/>
  <c r="K52" i="1"/>
  <c r="L52" i="1" s="1"/>
  <c r="AV59" i="3"/>
  <c r="M59" i="3"/>
  <c r="I60" i="3"/>
  <c r="H60" i="3" s="1"/>
  <c r="AU59" i="3"/>
  <c r="J54" i="6" l="1"/>
  <c r="I53" i="1"/>
  <c r="AX52" i="1"/>
  <c r="K60" i="3"/>
  <c r="L60" i="3" s="1"/>
  <c r="J60" i="3"/>
  <c r="AW60" i="3" s="1"/>
  <c r="AV54" i="6" l="1"/>
  <c r="I55" i="6"/>
  <c r="H55" i="6" s="1"/>
  <c r="N53" i="6"/>
  <c r="J53" i="1"/>
  <c r="K53" i="1"/>
  <c r="L53" i="1" s="1"/>
  <c r="AU60" i="3"/>
  <c r="I61" i="3"/>
  <c r="H61" i="3" s="1"/>
  <c r="K55" i="6" l="1"/>
  <c r="L55" i="6" s="1"/>
  <c r="J55" i="6"/>
  <c r="I54" i="1"/>
  <c r="AX53" i="1"/>
  <c r="K61" i="3"/>
  <c r="L61" i="3" s="1"/>
  <c r="J61" i="3"/>
  <c r="AW61" i="3" s="1"/>
  <c r="I56" i="6" l="1"/>
  <c r="H56" i="6" s="1"/>
  <c r="N54" i="6"/>
  <c r="AV55" i="6"/>
  <c r="J54" i="1"/>
  <c r="K54" i="1"/>
  <c r="L54" i="1" s="1"/>
  <c r="AU61" i="3"/>
  <c r="I62" i="3"/>
  <c r="H62" i="3" s="1"/>
  <c r="K56" i="6" l="1"/>
  <c r="L56" i="6" s="1"/>
  <c r="I55" i="1"/>
  <c r="AX54" i="1"/>
  <c r="K62" i="3"/>
  <c r="L62" i="3" s="1"/>
  <c r="J62" i="3"/>
  <c r="AW62" i="3" s="1"/>
  <c r="J56" i="6" l="1"/>
  <c r="I57" i="6" s="1"/>
  <c r="J55" i="1"/>
  <c r="K55" i="1"/>
  <c r="L55" i="1" s="1"/>
  <c r="I63" i="3"/>
  <c r="H63" i="3" s="1"/>
  <c r="AU62" i="3"/>
  <c r="AV56" i="6" l="1"/>
  <c r="N55" i="6"/>
  <c r="J57" i="6"/>
  <c r="K57" i="6"/>
  <c r="L57" i="6" s="1"/>
  <c r="I56" i="1"/>
  <c r="AX55" i="1"/>
  <c r="K63" i="3"/>
  <c r="L63" i="3" s="1"/>
  <c r="J63" i="3"/>
  <c r="AW63" i="3" s="1"/>
  <c r="I58" i="6" l="1"/>
  <c r="N56" i="6"/>
  <c r="AV57" i="6"/>
  <c r="J56" i="1"/>
  <c r="K56" i="1"/>
  <c r="L56" i="1" s="1"/>
  <c r="I64" i="3"/>
  <c r="H64" i="3" s="1"/>
  <c r="AU63" i="3"/>
  <c r="J58" i="6" l="1"/>
  <c r="K58" i="6"/>
  <c r="L58" i="6" s="1"/>
  <c r="I57" i="1"/>
  <c r="AX56" i="1"/>
  <c r="K64" i="3"/>
  <c r="L64" i="3" s="1"/>
  <c r="J64" i="3"/>
  <c r="AW64" i="3" s="1"/>
  <c r="I59" i="6" l="1"/>
  <c r="AV58" i="6"/>
  <c r="N57" i="6"/>
  <c r="J57" i="1"/>
  <c r="K57" i="1"/>
  <c r="L57" i="1" s="1"/>
  <c r="AU64" i="3"/>
  <c r="I65" i="3"/>
  <c r="J59" i="6" l="1"/>
  <c r="K59" i="6"/>
  <c r="L59" i="6" s="1"/>
  <c r="I58" i="1"/>
  <c r="AX57" i="1"/>
  <c r="K65" i="3"/>
  <c r="L65" i="3" s="1"/>
  <c r="J65" i="3"/>
  <c r="AW65" i="3" s="1"/>
  <c r="I60" i="6" l="1"/>
  <c r="H60" i="6" s="1"/>
  <c r="N58" i="6"/>
  <c r="AV59" i="6"/>
  <c r="M59" i="6"/>
  <c r="P4" i="6" s="1"/>
  <c r="J58" i="1"/>
  <c r="K58" i="1"/>
  <c r="L58" i="1" s="1"/>
  <c r="AU65" i="3"/>
  <c r="I66" i="3"/>
  <c r="K60" i="6" l="1"/>
  <c r="L60" i="6" s="1"/>
  <c r="I59" i="1"/>
  <c r="AX58" i="1"/>
  <c r="K66" i="3"/>
  <c r="L66" i="3" s="1"/>
  <c r="J66" i="3"/>
  <c r="AW66" i="3" s="1"/>
  <c r="J60" i="6" l="1"/>
  <c r="J59" i="1"/>
  <c r="K59" i="1"/>
  <c r="L59" i="1" s="1"/>
  <c r="I67" i="3"/>
  <c r="H67" i="3" s="1"/>
  <c r="AU66" i="3"/>
  <c r="I61" i="6" l="1"/>
  <c r="H61" i="6" s="1"/>
  <c r="N59" i="6"/>
  <c r="AW60" i="6"/>
  <c r="I60" i="1"/>
  <c r="AX59" i="1"/>
  <c r="K67" i="3"/>
  <c r="L67" i="3" s="1"/>
  <c r="J67" i="3"/>
  <c r="AW67" i="3" s="1"/>
  <c r="K61" i="6" l="1"/>
  <c r="L61" i="6" s="1"/>
  <c r="J60" i="1"/>
  <c r="K60" i="1"/>
  <c r="L60" i="1" s="1"/>
  <c r="I68" i="3"/>
  <c r="H68" i="3" s="1"/>
  <c r="AU67" i="3"/>
  <c r="J61" i="6" l="1"/>
  <c r="I62" i="6" s="1"/>
  <c r="H62" i="6" s="1"/>
  <c r="I61" i="1"/>
  <c r="AX60" i="1"/>
  <c r="K68" i="3"/>
  <c r="L68" i="3" s="1"/>
  <c r="J68" i="3"/>
  <c r="AW68" i="3" s="1"/>
  <c r="N60" i="6" l="1"/>
  <c r="AW61" i="6"/>
  <c r="K62" i="6"/>
  <c r="L62" i="6" s="1"/>
  <c r="J61" i="1"/>
  <c r="K61" i="1"/>
  <c r="L61" i="1" s="1"/>
  <c r="AU68" i="3"/>
  <c r="I69" i="3"/>
  <c r="H69" i="3" s="1"/>
  <c r="J62" i="6" l="1"/>
  <c r="I62" i="1"/>
  <c r="AX61" i="1"/>
  <c r="K69" i="3"/>
  <c r="L69" i="3" s="1"/>
  <c r="J69" i="3"/>
  <c r="AW69" i="3" s="1"/>
  <c r="I63" i="6" l="1"/>
  <c r="H63" i="6" s="1"/>
  <c r="AW62" i="6"/>
  <c r="N61" i="6"/>
  <c r="J62" i="1"/>
  <c r="K62" i="1"/>
  <c r="L62" i="1" s="1"/>
  <c r="AU69" i="3"/>
  <c r="I70" i="3"/>
  <c r="H70" i="3" s="1"/>
  <c r="K63" i="6" l="1"/>
  <c r="L63" i="6" s="1"/>
  <c r="I63" i="1"/>
  <c r="AX62" i="1"/>
  <c r="K70" i="3"/>
  <c r="L70" i="3" s="1"/>
  <c r="J70" i="3"/>
  <c r="AW70" i="3" s="1"/>
  <c r="J63" i="6" l="1"/>
  <c r="J63" i="1"/>
  <c r="K63" i="1"/>
  <c r="L63" i="1" s="1"/>
  <c r="I71" i="3"/>
  <c r="H71" i="3" s="1"/>
  <c r="AU70" i="3"/>
  <c r="N62" i="6" l="1"/>
  <c r="AW63" i="6"/>
  <c r="I64" i="6"/>
  <c r="H64" i="6" s="1"/>
  <c r="I64" i="1"/>
  <c r="AX63" i="1"/>
  <c r="K71" i="3"/>
  <c r="L71" i="3" s="1"/>
  <c r="J71" i="3"/>
  <c r="AW71" i="3" s="1"/>
  <c r="K64" i="6" l="1"/>
  <c r="L64" i="6" s="1"/>
  <c r="J64" i="1"/>
  <c r="K64" i="1"/>
  <c r="L64" i="1" s="1"/>
  <c r="I72" i="3"/>
  <c r="AU71" i="3"/>
  <c r="J64" i="6" l="1"/>
  <c r="I65" i="1"/>
  <c r="AX64" i="1"/>
  <c r="K72" i="3"/>
  <c r="L72" i="3" s="1"/>
  <c r="J72" i="3"/>
  <c r="AW72" i="3" s="1"/>
  <c r="N63" i="6" l="1"/>
  <c r="AW64" i="6"/>
  <c r="I65" i="6"/>
  <c r="J65" i="1"/>
  <c r="K65" i="1"/>
  <c r="L65" i="1" s="1"/>
  <c r="AU72" i="3"/>
  <c r="I73" i="3"/>
  <c r="J65" i="6" l="1"/>
  <c r="K65" i="6"/>
  <c r="L65" i="6" s="1"/>
  <c r="I66" i="1"/>
  <c r="AX65" i="1"/>
  <c r="K73" i="3"/>
  <c r="L73" i="3" s="1"/>
  <c r="J73" i="3"/>
  <c r="AW73" i="3" s="1"/>
  <c r="N64" i="6" l="1"/>
  <c r="I66" i="6"/>
  <c r="AW65" i="6"/>
  <c r="J66" i="1"/>
  <c r="K66" i="1"/>
  <c r="L66" i="1" s="1"/>
  <c r="AU73" i="3"/>
  <c r="M73" i="3"/>
  <c r="P3" i="3" s="1"/>
  <c r="I74" i="3"/>
  <c r="H74" i="3" s="1"/>
  <c r="J66" i="6" l="1"/>
  <c r="K66" i="6"/>
  <c r="L66" i="6" s="1"/>
  <c r="I67" i="1"/>
  <c r="AX66" i="1"/>
  <c r="M66" i="1"/>
  <c r="S3" i="1" s="1"/>
  <c r="K74" i="3"/>
  <c r="L74" i="3" s="1"/>
  <c r="J74" i="3"/>
  <c r="AX74" i="3" s="1"/>
  <c r="AW66" i="6" l="1"/>
  <c r="N65" i="6"/>
  <c r="I67" i="6"/>
  <c r="H67" i="6" s="1"/>
  <c r="J67" i="1"/>
  <c r="K67" i="1"/>
  <c r="L67" i="1" s="1"/>
  <c r="I75" i="3"/>
  <c r="H75" i="3" s="1"/>
  <c r="AV74" i="3"/>
  <c r="K67" i="6" l="1"/>
  <c r="L67" i="6" s="1"/>
  <c r="I68" i="1"/>
  <c r="AY67" i="1"/>
  <c r="K75" i="3"/>
  <c r="L75" i="3" s="1"/>
  <c r="J75" i="3"/>
  <c r="AX75" i="3" s="1"/>
  <c r="J67" i="6" l="1"/>
  <c r="J68" i="1"/>
  <c r="K68" i="1"/>
  <c r="L68" i="1" s="1"/>
  <c r="I76" i="3"/>
  <c r="H76" i="3" s="1"/>
  <c r="AV75" i="3"/>
  <c r="AW67" i="6" l="1"/>
  <c r="N66" i="6"/>
  <c r="I68" i="6"/>
  <c r="H68" i="6" s="1"/>
  <c r="I69" i="1"/>
  <c r="AY68" i="1"/>
  <c r="K76" i="3"/>
  <c r="L76" i="3" s="1"/>
  <c r="J76" i="3"/>
  <c r="AX76" i="3" s="1"/>
  <c r="K68" i="6" l="1"/>
  <c r="L68" i="6" s="1"/>
  <c r="J69" i="1"/>
  <c r="K69" i="1"/>
  <c r="L69" i="1" s="1"/>
  <c r="AV76" i="3"/>
  <c r="I77" i="3"/>
  <c r="H77" i="3" s="1"/>
  <c r="J68" i="6" l="1"/>
  <c r="I70" i="1"/>
  <c r="AY69" i="1"/>
  <c r="K77" i="3"/>
  <c r="L77" i="3" s="1"/>
  <c r="J77" i="3"/>
  <c r="AX77" i="3" s="1"/>
  <c r="AW68" i="6" l="1"/>
  <c r="N67" i="6"/>
  <c r="I69" i="6"/>
  <c r="H69" i="6" s="1"/>
  <c r="J70" i="1"/>
  <c r="K70" i="1"/>
  <c r="L70" i="1" s="1"/>
  <c r="AV77" i="3"/>
  <c r="I78" i="3"/>
  <c r="H78" i="3" s="1"/>
  <c r="K69" i="6" l="1"/>
  <c r="L69" i="6" s="1"/>
  <c r="I71" i="1"/>
  <c r="AY70" i="1"/>
  <c r="K78" i="3"/>
  <c r="L78" i="3" s="1"/>
  <c r="J78" i="3"/>
  <c r="AX78" i="3" s="1"/>
  <c r="J69" i="6" l="1"/>
  <c r="J71" i="1"/>
  <c r="K71" i="1"/>
  <c r="L71" i="1" s="1"/>
  <c r="I79" i="3"/>
  <c r="H79" i="3" s="1"/>
  <c r="AV78" i="3"/>
  <c r="AW69" i="6" l="1"/>
  <c r="N68" i="6"/>
  <c r="I70" i="6"/>
  <c r="H70" i="6" s="1"/>
  <c r="I72" i="1"/>
  <c r="AY71" i="1"/>
  <c r="K79" i="3"/>
  <c r="L79" i="3" s="1"/>
  <c r="J79" i="3"/>
  <c r="AX79" i="3" s="1"/>
  <c r="K70" i="6" l="1"/>
  <c r="L70" i="6" s="1"/>
  <c r="J72" i="1"/>
  <c r="K72" i="1"/>
  <c r="L72" i="1" s="1"/>
  <c r="I80" i="3"/>
  <c r="AV79" i="3"/>
  <c r="J70" i="6" l="1"/>
  <c r="I73" i="1"/>
  <c r="AY72" i="1"/>
  <c r="K80" i="3"/>
  <c r="L80" i="3" s="1"/>
  <c r="J80" i="3"/>
  <c r="AX80" i="3" s="1"/>
  <c r="AW70" i="6" l="1"/>
  <c r="I71" i="6"/>
  <c r="H71" i="6" s="1"/>
  <c r="N69" i="6"/>
  <c r="J73" i="1"/>
  <c r="K73" i="1"/>
  <c r="L73" i="1" s="1"/>
  <c r="AV80" i="3"/>
  <c r="I81" i="3"/>
  <c r="H81" i="3" s="1"/>
  <c r="K71" i="6" l="1"/>
  <c r="L71" i="6" s="1"/>
  <c r="J71" i="6"/>
  <c r="I74" i="1"/>
  <c r="AY73" i="1"/>
  <c r="K81" i="3"/>
  <c r="L81" i="3" s="1"/>
  <c r="J81" i="3"/>
  <c r="AX81" i="3" s="1"/>
  <c r="AW71" i="6" l="1"/>
  <c r="I72" i="6"/>
  <c r="N70" i="6"/>
  <c r="J74" i="1"/>
  <c r="K74" i="1"/>
  <c r="L74" i="1" s="1"/>
  <c r="AV81" i="3"/>
  <c r="I82" i="3"/>
  <c r="H82" i="3" s="1"/>
  <c r="J72" i="6" l="1"/>
  <c r="K72" i="6"/>
  <c r="L72" i="6" s="1"/>
  <c r="I75" i="1"/>
  <c r="AY74" i="1"/>
  <c r="K82" i="3"/>
  <c r="L82" i="3" s="1"/>
  <c r="J82" i="3"/>
  <c r="AX82" i="3" s="1"/>
  <c r="I73" i="6" l="1"/>
  <c r="N71" i="6"/>
  <c r="AW72" i="6"/>
  <c r="J75" i="1"/>
  <c r="K75" i="1"/>
  <c r="L75" i="1" s="1"/>
  <c r="I83" i="3"/>
  <c r="H83" i="3" s="1"/>
  <c r="AV82" i="3"/>
  <c r="J73" i="6" l="1"/>
  <c r="K73" i="6"/>
  <c r="L73" i="6" s="1"/>
  <c r="I76" i="1"/>
  <c r="AY75" i="1"/>
  <c r="K83" i="3"/>
  <c r="L83" i="3" s="1"/>
  <c r="J83" i="3"/>
  <c r="AX83" i="3" s="1"/>
  <c r="I74" i="6" l="1"/>
  <c r="H74" i="6" s="1"/>
  <c r="M73" i="6"/>
  <c r="P5" i="6" s="1"/>
  <c r="AW73" i="6"/>
  <c r="N72" i="6"/>
  <c r="J76" i="1"/>
  <c r="K76" i="1"/>
  <c r="L76" i="1" s="1"/>
  <c r="I84" i="3"/>
  <c r="H84" i="3" s="1"/>
  <c r="AV83" i="3"/>
  <c r="K74" i="6" l="1"/>
  <c r="L74" i="6" s="1"/>
  <c r="I77" i="1"/>
  <c r="AY76" i="1"/>
  <c r="K84" i="3"/>
  <c r="L84" i="3" s="1"/>
  <c r="J84" i="3"/>
  <c r="AX84" i="3" s="1"/>
  <c r="J74" i="6" l="1"/>
  <c r="I75" i="6" s="1"/>
  <c r="H75" i="6" s="1"/>
  <c r="J77" i="1"/>
  <c r="K77" i="1"/>
  <c r="L77" i="1" s="1"/>
  <c r="AV84" i="3"/>
  <c r="I85" i="3"/>
  <c r="H85" i="3" s="1"/>
  <c r="AX74" i="6" l="1"/>
  <c r="N73" i="6"/>
  <c r="K75" i="6"/>
  <c r="L75" i="6" s="1"/>
  <c r="I78" i="1"/>
  <c r="AY77" i="1"/>
  <c r="K85" i="3"/>
  <c r="L85" i="3" s="1"/>
  <c r="J85" i="3"/>
  <c r="AX85" i="3" s="1"/>
  <c r="J75" i="6" l="1"/>
  <c r="J78" i="1"/>
  <c r="K78" i="1"/>
  <c r="L78" i="1" s="1"/>
  <c r="AV85" i="3"/>
  <c r="I86" i="3"/>
  <c r="H86" i="3" s="1"/>
  <c r="I76" i="6" l="1"/>
  <c r="H76" i="6" s="1"/>
  <c r="AX75" i="6"/>
  <c r="N74" i="6"/>
  <c r="I79" i="1"/>
  <c r="AY78" i="1"/>
  <c r="K86" i="3"/>
  <c r="L86" i="3" s="1"/>
  <c r="J86" i="3"/>
  <c r="AX86" i="3" s="1"/>
  <c r="K76" i="6" l="1"/>
  <c r="L76" i="6" s="1"/>
  <c r="J79" i="1"/>
  <c r="K79" i="1"/>
  <c r="L79" i="1" s="1"/>
  <c r="I87" i="3"/>
  <c r="AV86" i="3"/>
  <c r="J76" i="6" l="1"/>
  <c r="I80" i="1"/>
  <c r="AY79" i="1"/>
  <c r="K87" i="3"/>
  <c r="L87" i="3" s="1"/>
  <c r="J87" i="3"/>
  <c r="I77" i="6" l="1"/>
  <c r="H77" i="6" s="1"/>
  <c r="AX76" i="6"/>
  <c r="N75" i="6"/>
  <c r="J80" i="1"/>
  <c r="K80" i="1"/>
  <c r="L80" i="1" s="1"/>
  <c r="AX87" i="3"/>
  <c r="M87" i="3"/>
  <c r="I88" i="3"/>
  <c r="H88" i="3" s="1"/>
  <c r="AV87" i="3"/>
  <c r="K77" i="6" l="1"/>
  <c r="L77" i="6" s="1"/>
  <c r="I81" i="1"/>
  <c r="AY80" i="1"/>
  <c r="K88" i="3"/>
  <c r="L88" i="3" s="1"/>
  <c r="J88" i="3"/>
  <c r="AY88" i="3" s="1"/>
  <c r="J77" i="6" l="1"/>
  <c r="J81" i="1"/>
  <c r="K81" i="1"/>
  <c r="L81" i="1" s="1"/>
  <c r="AV88" i="3"/>
  <c r="I89" i="3"/>
  <c r="H89" i="3" s="1"/>
  <c r="I78" i="6" l="1"/>
  <c r="H78" i="6" s="1"/>
  <c r="AX77" i="6"/>
  <c r="N76" i="6"/>
  <c r="I82" i="1"/>
  <c r="AY81" i="1"/>
  <c r="K89" i="3"/>
  <c r="L89" i="3" s="1"/>
  <c r="J89" i="3"/>
  <c r="AY89" i="3" s="1"/>
  <c r="K78" i="6" l="1"/>
  <c r="L78" i="6" s="1"/>
  <c r="J82" i="1"/>
  <c r="K82" i="1"/>
  <c r="L82" i="1" s="1"/>
  <c r="AV89" i="3"/>
  <c r="I90" i="3"/>
  <c r="H90" i="3" s="1"/>
  <c r="J78" i="6" l="1"/>
  <c r="I83" i="1"/>
  <c r="AY82" i="1"/>
  <c r="J90" i="3"/>
  <c r="AY90" i="3" s="1"/>
  <c r="K90" i="3"/>
  <c r="L90" i="3" s="1"/>
  <c r="I79" i="6" l="1"/>
  <c r="H79" i="6" s="1"/>
  <c r="AX78" i="6"/>
  <c r="N77" i="6"/>
  <c r="J83" i="1"/>
  <c r="K83" i="1"/>
  <c r="L83" i="1" s="1"/>
  <c r="I91" i="3"/>
  <c r="H91" i="3" s="1"/>
  <c r="AV90" i="3"/>
  <c r="K79" i="6" l="1"/>
  <c r="L79" i="6" s="1"/>
  <c r="I84" i="1"/>
  <c r="AY83" i="1"/>
  <c r="K91" i="3"/>
  <c r="L91" i="3" s="1"/>
  <c r="J91" i="3"/>
  <c r="AY91" i="3" s="1"/>
  <c r="J79" i="6" l="1"/>
  <c r="J84" i="1"/>
  <c r="K84" i="1"/>
  <c r="L84" i="1" s="1"/>
  <c r="I92" i="3"/>
  <c r="H92" i="3" s="1"/>
  <c r="AV91" i="3"/>
  <c r="N78" i="6" l="1"/>
  <c r="I80" i="6"/>
  <c r="AX79" i="6"/>
  <c r="I85" i="1"/>
  <c r="AY84" i="1"/>
  <c r="K92" i="3"/>
  <c r="L92" i="3" s="1"/>
  <c r="J92" i="3"/>
  <c r="AY92" i="3" s="1"/>
  <c r="J80" i="6" l="1"/>
  <c r="K80" i="6"/>
  <c r="L80" i="6" s="1"/>
  <c r="J85" i="1"/>
  <c r="K85" i="1"/>
  <c r="L85" i="1" s="1"/>
  <c r="AV92" i="3"/>
  <c r="I93" i="3"/>
  <c r="N79" i="6" l="1"/>
  <c r="AX80" i="6"/>
  <c r="I81" i="6"/>
  <c r="H81" i="6" s="1"/>
  <c r="I86" i="1"/>
  <c r="AY85" i="1"/>
  <c r="K93" i="3"/>
  <c r="L93" i="3" s="1"/>
  <c r="J93" i="3"/>
  <c r="AY93" i="3" s="1"/>
  <c r="K81" i="6" l="1"/>
  <c r="L81" i="6" s="1"/>
  <c r="J86" i="1"/>
  <c r="K86" i="1"/>
  <c r="L86" i="1" s="1"/>
  <c r="AV93" i="3"/>
  <c r="I94" i="3"/>
  <c r="J81" i="6" l="1"/>
  <c r="I87" i="1"/>
  <c r="AY86" i="1"/>
  <c r="K94" i="3"/>
  <c r="L94" i="3" s="1"/>
  <c r="J94" i="3"/>
  <c r="AY94" i="3" s="1"/>
  <c r="N80" i="6" l="1"/>
  <c r="I82" i="6"/>
  <c r="H82" i="6" s="1"/>
  <c r="AX81" i="6"/>
  <c r="J87" i="1"/>
  <c r="K87" i="1"/>
  <c r="L87" i="1" s="1"/>
  <c r="I95" i="3"/>
  <c r="H95" i="3" s="1"/>
  <c r="AV94" i="3"/>
  <c r="K82" i="6" l="1"/>
  <c r="L82" i="6" s="1"/>
  <c r="I88" i="1"/>
  <c r="AY87" i="1"/>
  <c r="K95" i="3"/>
  <c r="L95" i="3" s="1"/>
  <c r="J95" i="3"/>
  <c r="AY95" i="3" s="1"/>
  <c r="J82" i="6" l="1"/>
  <c r="J88" i="1"/>
  <c r="K88" i="1"/>
  <c r="L88" i="1" s="1"/>
  <c r="I96" i="3"/>
  <c r="H96" i="3" s="1"/>
  <c r="AV95" i="3"/>
  <c r="N81" i="6" l="1"/>
  <c r="I83" i="6"/>
  <c r="H83" i="6" s="1"/>
  <c r="AX82" i="6"/>
  <c r="I89" i="1"/>
  <c r="AY88" i="1"/>
  <c r="K96" i="3"/>
  <c r="L96" i="3" s="1"/>
  <c r="J96" i="3"/>
  <c r="AY96" i="3" s="1"/>
  <c r="K83" i="6" l="1"/>
  <c r="L83" i="6" s="1"/>
  <c r="J89" i="1"/>
  <c r="K89" i="1"/>
  <c r="L89" i="1" s="1"/>
  <c r="AV96" i="3"/>
  <c r="I97" i="3"/>
  <c r="H97" i="3" s="1"/>
  <c r="J83" i="6" l="1"/>
  <c r="I90" i="1"/>
  <c r="AY89" i="1"/>
  <c r="K97" i="3"/>
  <c r="L97" i="3" s="1"/>
  <c r="J97" i="3"/>
  <c r="AY97" i="3" s="1"/>
  <c r="AX83" i="6" l="1"/>
  <c r="N82" i="6"/>
  <c r="I84" i="6"/>
  <c r="H84" i="6" s="1"/>
  <c r="J90" i="1"/>
  <c r="K90" i="1"/>
  <c r="L90" i="1" s="1"/>
  <c r="AV97" i="3"/>
  <c r="I98" i="3"/>
  <c r="H98" i="3" s="1"/>
  <c r="K84" i="6" l="1"/>
  <c r="L84" i="6" s="1"/>
  <c r="I91" i="1"/>
  <c r="AY90" i="1"/>
  <c r="K98" i="3"/>
  <c r="L98" i="3" s="1"/>
  <c r="J98" i="3"/>
  <c r="AY98" i="3" s="1"/>
  <c r="J84" i="6" l="1"/>
  <c r="J91" i="1"/>
  <c r="K91" i="1"/>
  <c r="L91" i="1" s="1"/>
  <c r="I99" i="3"/>
  <c r="H99" i="3" s="1"/>
  <c r="AV98" i="3"/>
  <c r="AX84" i="6" l="1"/>
  <c r="N83" i="6"/>
  <c r="I85" i="6"/>
  <c r="H85" i="6" s="1"/>
  <c r="I92" i="1"/>
  <c r="AY91" i="1"/>
  <c r="K99" i="3"/>
  <c r="L99" i="3" s="1"/>
  <c r="J99" i="3"/>
  <c r="AY99" i="3" s="1"/>
  <c r="K85" i="6" l="1"/>
  <c r="L85" i="6" s="1"/>
  <c r="J92" i="1"/>
  <c r="K92" i="1"/>
  <c r="L92" i="1" s="1"/>
  <c r="I100" i="3"/>
  <c r="AV99" i="3"/>
  <c r="J85" i="6" l="1"/>
  <c r="I93" i="1"/>
  <c r="AY92" i="1"/>
  <c r="K100" i="3"/>
  <c r="L100" i="3" s="1"/>
  <c r="J100" i="3"/>
  <c r="AY100" i="3" s="1"/>
  <c r="AX85" i="6" l="1"/>
  <c r="N84" i="6"/>
  <c r="I86" i="6"/>
  <c r="H86" i="6" s="1"/>
  <c r="J93" i="1"/>
  <c r="K93" i="1"/>
  <c r="L93" i="1" s="1"/>
  <c r="AV100" i="3"/>
  <c r="I101" i="3"/>
  <c r="K86" i="6" l="1"/>
  <c r="L86" i="6" s="1"/>
  <c r="I94" i="1"/>
  <c r="AY93" i="1"/>
  <c r="K101" i="3"/>
  <c r="L101" i="3" s="1"/>
  <c r="J101" i="3"/>
  <c r="AY101" i="3" s="1"/>
  <c r="J86" i="6" l="1"/>
  <c r="AX86" i="6" s="1"/>
  <c r="J94" i="1"/>
  <c r="K94" i="1"/>
  <c r="L94" i="1" s="1"/>
  <c r="AV101" i="3"/>
  <c r="M101" i="3"/>
  <c r="P4" i="3" s="1"/>
  <c r="I102" i="3"/>
  <c r="H102" i="3" s="1"/>
  <c r="I87" i="6" l="1"/>
  <c r="K87" i="6" s="1"/>
  <c r="L87" i="6" s="1"/>
  <c r="N85" i="6"/>
  <c r="I95" i="1"/>
  <c r="AY94" i="1"/>
  <c r="M94" i="1"/>
  <c r="S4" i="1" s="1"/>
  <c r="K102" i="3"/>
  <c r="L102" i="3" s="1"/>
  <c r="J102" i="3"/>
  <c r="AZ102" i="3" s="1"/>
  <c r="J87" i="6" l="1"/>
  <c r="AX87" i="6" s="1"/>
  <c r="J95" i="1"/>
  <c r="K95" i="1"/>
  <c r="L95" i="1" s="1"/>
  <c r="I103" i="3"/>
  <c r="H103" i="3" s="1"/>
  <c r="AW102" i="3"/>
  <c r="N86" i="6" l="1"/>
  <c r="M87" i="6"/>
  <c r="P6" i="6" s="1"/>
  <c r="I88" i="6"/>
  <c r="H88" i="6" s="1"/>
  <c r="K88" i="6" s="1"/>
  <c r="L88" i="6" s="1"/>
  <c r="I96" i="1"/>
  <c r="AZ95" i="1"/>
  <c r="K103" i="3"/>
  <c r="L103" i="3" s="1"/>
  <c r="J103" i="3"/>
  <c r="AZ103" i="3" s="1"/>
  <c r="J88" i="6" l="1"/>
  <c r="J96" i="1"/>
  <c r="K96" i="1"/>
  <c r="L96" i="1" s="1"/>
  <c r="I104" i="3"/>
  <c r="H104" i="3" s="1"/>
  <c r="AW103" i="3"/>
  <c r="I89" i="6" l="1"/>
  <c r="H89" i="6" s="1"/>
  <c r="AY88" i="6"/>
  <c r="N87" i="6"/>
  <c r="I97" i="1"/>
  <c r="AZ96" i="1"/>
  <c r="K104" i="3"/>
  <c r="L104" i="3" s="1"/>
  <c r="J104" i="3"/>
  <c r="AZ104" i="3" s="1"/>
  <c r="K89" i="6" l="1"/>
  <c r="L89" i="6" s="1"/>
  <c r="J97" i="1"/>
  <c r="K97" i="1"/>
  <c r="L97" i="1" s="1"/>
  <c r="I105" i="3"/>
  <c r="H105" i="3" s="1"/>
  <c r="AW104" i="3"/>
  <c r="J89" i="6" l="1"/>
  <c r="I98" i="1"/>
  <c r="AZ97" i="1"/>
  <c r="K105" i="3"/>
  <c r="L105" i="3" s="1"/>
  <c r="J105" i="3"/>
  <c r="AZ105" i="3" s="1"/>
  <c r="I90" i="6" l="1"/>
  <c r="H90" i="6" s="1"/>
  <c r="AY89" i="6"/>
  <c r="N88" i="6"/>
  <c r="J98" i="1"/>
  <c r="K98" i="1"/>
  <c r="L98" i="1" s="1"/>
  <c r="AW105" i="3"/>
  <c r="I106" i="3"/>
  <c r="H106" i="3" s="1"/>
  <c r="K90" i="6" l="1"/>
  <c r="L90" i="6" s="1"/>
  <c r="I99" i="1"/>
  <c r="AZ98" i="1"/>
  <c r="K106" i="3"/>
  <c r="L106" i="3" s="1"/>
  <c r="J106" i="3"/>
  <c r="AZ106" i="3" s="1"/>
  <c r="J90" i="6" l="1"/>
  <c r="I91" i="6" s="1"/>
  <c r="H91" i="6" s="1"/>
  <c r="J99" i="1"/>
  <c r="K99" i="1"/>
  <c r="L99" i="1" s="1"/>
  <c r="I107" i="3"/>
  <c r="AW106" i="3"/>
  <c r="N89" i="6" l="1"/>
  <c r="AY90" i="6"/>
  <c r="K91" i="6"/>
  <c r="L91" i="6" s="1"/>
  <c r="I100" i="1"/>
  <c r="AZ99" i="1"/>
  <c r="K107" i="3"/>
  <c r="L107" i="3" s="1"/>
  <c r="J107" i="3"/>
  <c r="AZ107" i="3" s="1"/>
  <c r="J91" i="6" l="1"/>
  <c r="J100" i="1"/>
  <c r="K100" i="1"/>
  <c r="L100" i="1" s="1"/>
  <c r="I108" i="3"/>
  <c r="AW107" i="3"/>
  <c r="I92" i="6" l="1"/>
  <c r="H92" i="6" s="1"/>
  <c r="AY91" i="6"/>
  <c r="N90" i="6"/>
  <c r="I101" i="1"/>
  <c r="AZ100" i="1"/>
  <c r="K108" i="3"/>
  <c r="L108" i="3" s="1"/>
  <c r="J108" i="3"/>
  <c r="AZ108" i="3" s="1"/>
  <c r="K92" i="6" l="1"/>
  <c r="L92" i="6" s="1"/>
  <c r="J101" i="1"/>
  <c r="K101" i="1"/>
  <c r="L101" i="1" s="1"/>
  <c r="I109" i="3"/>
  <c r="H109" i="3" s="1"/>
  <c r="AW108" i="3"/>
  <c r="J92" i="6" l="1"/>
  <c r="I102" i="1"/>
  <c r="AZ101" i="1"/>
  <c r="K109" i="3"/>
  <c r="L109" i="3" s="1"/>
  <c r="J109" i="3"/>
  <c r="AZ109" i="3" s="1"/>
  <c r="I93" i="6" l="1"/>
  <c r="N91" i="6"/>
  <c r="AY92" i="6"/>
  <c r="J102" i="1"/>
  <c r="K102" i="1"/>
  <c r="L102" i="1" s="1"/>
  <c r="AW109" i="3"/>
  <c r="I110" i="3"/>
  <c r="H110" i="3" s="1"/>
  <c r="J93" i="6" l="1"/>
  <c r="K93" i="6"/>
  <c r="L93" i="6" s="1"/>
  <c r="I103" i="1"/>
  <c r="AZ102" i="1"/>
  <c r="J110" i="3"/>
  <c r="AZ110" i="3" s="1"/>
  <c r="K110" i="3"/>
  <c r="L110" i="3" s="1"/>
  <c r="I94" i="6" l="1"/>
  <c r="AY93" i="6"/>
  <c r="N92" i="6"/>
  <c r="J103" i="1"/>
  <c r="K103" i="1"/>
  <c r="L103" i="1" s="1"/>
  <c r="I111" i="3"/>
  <c r="H111" i="3" s="1"/>
  <c r="AW110" i="3"/>
  <c r="J94" i="6" l="1"/>
  <c r="K94" i="6"/>
  <c r="L94" i="6" s="1"/>
  <c r="I104" i="1"/>
  <c r="AZ103" i="1"/>
  <c r="K111" i="3"/>
  <c r="L111" i="3" s="1"/>
  <c r="J111" i="3"/>
  <c r="AZ111" i="3" s="1"/>
  <c r="I95" i="6" l="1"/>
  <c r="H95" i="6" s="1"/>
  <c r="N93" i="6"/>
  <c r="AY94" i="6"/>
  <c r="J104" i="1"/>
  <c r="K104" i="1"/>
  <c r="L104" i="1" s="1"/>
  <c r="I112" i="3"/>
  <c r="H112" i="3" s="1"/>
  <c r="AW111" i="3"/>
  <c r="K95" i="6" l="1"/>
  <c r="L95" i="6" s="1"/>
  <c r="I105" i="1"/>
  <c r="AZ104" i="1"/>
  <c r="K112" i="3"/>
  <c r="L112" i="3" s="1"/>
  <c r="J112" i="3"/>
  <c r="AZ112" i="3" s="1"/>
  <c r="J95" i="6" l="1"/>
  <c r="J105" i="1"/>
  <c r="K105" i="1"/>
  <c r="L105" i="1" s="1"/>
  <c r="I113" i="3"/>
  <c r="H113" i="3" s="1"/>
  <c r="AW112" i="3"/>
  <c r="N94" i="6" l="1"/>
  <c r="I96" i="6"/>
  <c r="H96" i="6" s="1"/>
  <c r="AY95" i="6"/>
  <c r="I106" i="1"/>
  <c r="AZ105" i="1"/>
  <c r="K113" i="3"/>
  <c r="L113" i="3" s="1"/>
  <c r="J113" i="3"/>
  <c r="AZ113" i="3" s="1"/>
  <c r="K96" i="6" l="1"/>
  <c r="L96" i="6" s="1"/>
  <c r="J106" i="1"/>
  <c r="K106" i="1"/>
  <c r="L106" i="1" s="1"/>
  <c r="AW113" i="3"/>
  <c r="I114" i="3"/>
  <c r="J96" i="6" l="1"/>
  <c r="I107" i="1"/>
  <c r="AZ106" i="1"/>
  <c r="K114" i="3"/>
  <c r="L114" i="3" s="1"/>
  <c r="J114" i="3"/>
  <c r="AZ114" i="3" s="1"/>
  <c r="N95" i="6" l="1"/>
  <c r="I97" i="6"/>
  <c r="H97" i="6" s="1"/>
  <c r="AY96" i="6"/>
  <c r="J107" i="1"/>
  <c r="K107" i="1"/>
  <c r="L107" i="1" s="1"/>
  <c r="I115" i="3"/>
  <c r="AW114" i="3"/>
  <c r="K97" i="6" l="1"/>
  <c r="L97" i="6" s="1"/>
  <c r="I108" i="1"/>
  <c r="AZ107" i="1"/>
  <c r="K115" i="3"/>
  <c r="L115" i="3" s="1"/>
  <c r="J115" i="3"/>
  <c r="J97" i="6" l="1"/>
  <c r="J108" i="1"/>
  <c r="K108" i="1"/>
  <c r="L108" i="1" s="1"/>
  <c r="M115" i="3"/>
  <c r="AZ115" i="3"/>
  <c r="I116" i="3"/>
  <c r="H116" i="3" s="1"/>
  <c r="AW115" i="3"/>
  <c r="N96" i="6" l="1"/>
  <c r="I98" i="6"/>
  <c r="H98" i="6" s="1"/>
  <c r="AY97" i="6"/>
  <c r="I109" i="1"/>
  <c r="AZ108" i="1"/>
  <c r="K116" i="3"/>
  <c r="L116" i="3" s="1"/>
  <c r="J116" i="3"/>
  <c r="K98" i="6" l="1"/>
  <c r="L98" i="6" s="1"/>
  <c r="J109" i="1"/>
  <c r="K109" i="1"/>
  <c r="L109" i="1" s="1"/>
  <c r="I117" i="3"/>
  <c r="H117" i="3" s="1"/>
  <c r="AW116" i="3"/>
  <c r="J98" i="6" l="1"/>
  <c r="I110" i="1"/>
  <c r="AZ109" i="1"/>
  <c r="K117" i="3"/>
  <c r="L117" i="3" s="1"/>
  <c r="J117" i="3"/>
  <c r="N97" i="6" l="1"/>
  <c r="I99" i="6"/>
  <c r="H99" i="6" s="1"/>
  <c r="AY98" i="6"/>
  <c r="J110" i="1"/>
  <c r="K110" i="1"/>
  <c r="L110" i="1" s="1"/>
  <c r="AW117" i="3"/>
  <c r="I118" i="3"/>
  <c r="H118" i="3" s="1"/>
  <c r="K99" i="6" l="1"/>
  <c r="L99" i="6" s="1"/>
  <c r="I111" i="1"/>
  <c r="AZ110" i="1"/>
  <c r="K118" i="3"/>
  <c r="L118" i="3" s="1"/>
  <c r="J118" i="3"/>
  <c r="J99" i="6" l="1"/>
  <c r="N98" i="6" s="1"/>
  <c r="J111" i="1"/>
  <c r="K111" i="1"/>
  <c r="L111" i="1" s="1"/>
  <c r="I119" i="3"/>
  <c r="H119" i="3" s="1"/>
  <c r="AW118" i="3"/>
  <c r="AY99" i="6" l="1"/>
  <c r="I100" i="6"/>
  <c r="J100" i="6" s="1"/>
  <c r="I112" i="1"/>
  <c r="AZ111" i="1"/>
  <c r="K119" i="3"/>
  <c r="L119" i="3" s="1"/>
  <c r="J119" i="3"/>
  <c r="K100" i="6" l="1"/>
  <c r="L100" i="6" s="1"/>
  <c r="AY100" i="6"/>
  <c r="N99" i="6"/>
  <c r="I101" i="6"/>
  <c r="J112" i="1"/>
  <c r="K112" i="1"/>
  <c r="L112" i="1" s="1"/>
  <c r="I120" i="3"/>
  <c r="H120" i="3" s="1"/>
  <c r="AW119" i="3"/>
  <c r="J101" i="6" l="1"/>
  <c r="K101" i="6"/>
  <c r="L101" i="6" s="1"/>
  <c r="I113" i="1"/>
  <c r="AZ112" i="1"/>
  <c r="K120" i="3"/>
  <c r="L120" i="3" s="1"/>
  <c r="J120" i="3"/>
  <c r="AY101" i="6" l="1"/>
  <c r="N100" i="6"/>
  <c r="I102" i="6"/>
  <c r="H102" i="6" s="1"/>
  <c r="M101" i="6"/>
  <c r="P7" i="6" s="1"/>
  <c r="J113" i="1"/>
  <c r="K113" i="1"/>
  <c r="L113" i="1" s="1"/>
  <c r="AW120" i="3"/>
  <c r="I121" i="3"/>
  <c r="H121" i="3" s="1"/>
  <c r="K102" i="6" l="1"/>
  <c r="L102" i="6" s="1"/>
  <c r="I114" i="1"/>
  <c r="AZ113" i="1"/>
  <c r="K121" i="3"/>
  <c r="L121" i="3" s="1"/>
  <c r="J121" i="3"/>
  <c r="J102" i="6" l="1"/>
  <c r="AZ102" i="6" s="1"/>
  <c r="J114" i="1"/>
  <c r="K114" i="1"/>
  <c r="L114" i="1" s="1"/>
  <c r="AW121" i="3"/>
  <c r="I122" i="3"/>
  <c r="N101" i="6" l="1"/>
  <c r="I103" i="6"/>
  <c r="H103" i="6" s="1"/>
  <c r="K103" i="6" s="1"/>
  <c r="L103" i="6" s="1"/>
  <c r="I115" i="1"/>
  <c r="AZ114" i="1"/>
  <c r="K122" i="3"/>
  <c r="L122" i="3" s="1"/>
  <c r="J122" i="3"/>
  <c r="J103" i="6" l="1"/>
  <c r="J115" i="1"/>
  <c r="K115" i="1"/>
  <c r="L115" i="1" s="1"/>
  <c r="I123" i="3"/>
  <c r="H123" i="3" s="1"/>
  <c r="AW122" i="3"/>
  <c r="AZ103" i="6" l="1"/>
  <c r="I104" i="6"/>
  <c r="H104" i="6" s="1"/>
  <c r="N102" i="6"/>
  <c r="I116" i="1"/>
  <c r="AZ115" i="1"/>
  <c r="K123" i="3"/>
  <c r="L123" i="3" s="1"/>
  <c r="J123" i="3"/>
  <c r="K104" i="6" l="1"/>
  <c r="L104" i="6" s="1"/>
  <c r="J116" i="1"/>
  <c r="K116" i="1"/>
  <c r="L116" i="1" s="1"/>
  <c r="I124" i="3"/>
  <c r="H124" i="3" s="1"/>
  <c r="AW123" i="3"/>
  <c r="J104" i="6" l="1"/>
  <c r="I117" i="1"/>
  <c r="AZ116" i="1"/>
  <c r="K124" i="3"/>
  <c r="L124" i="3" s="1"/>
  <c r="J124" i="3"/>
  <c r="I105" i="6" l="1"/>
  <c r="H105" i="6" s="1"/>
  <c r="AZ104" i="6"/>
  <c r="N103" i="6"/>
  <c r="J117" i="1"/>
  <c r="K117" i="1"/>
  <c r="L117" i="1" s="1"/>
  <c r="I125" i="3"/>
  <c r="H125" i="3" s="1"/>
  <c r="AW124" i="3"/>
  <c r="K105" i="6" l="1"/>
  <c r="L105" i="6" s="1"/>
  <c r="I118" i="1"/>
  <c r="AZ117" i="1"/>
  <c r="K125" i="3"/>
  <c r="L125" i="3" s="1"/>
  <c r="J125" i="3"/>
  <c r="J105" i="6" l="1"/>
  <c r="J118" i="1"/>
  <c r="K118" i="1"/>
  <c r="L118" i="1" s="1"/>
  <c r="AW125" i="3"/>
  <c r="I126" i="3"/>
  <c r="H126" i="3" s="1"/>
  <c r="I106" i="6" l="1"/>
  <c r="H106" i="6" s="1"/>
  <c r="AZ105" i="6"/>
  <c r="N104" i="6"/>
  <c r="I119" i="1"/>
  <c r="AZ118" i="1"/>
  <c r="K126" i="3"/>
  <c r="L126" i="3" s="1"/>
  <c r="J126" i="3"/>
  <c r="K106" i="6" l="1"/>
  <c r="L106" i="6" s="1"/>
  <c r="J119" i="1"/>
  <c r="K119" i="1"/>
  <c r="L119" i="1" s="1"/>
  <c r="I127" i="3"/>
  <c r="H127" i="3" s="1"/>
  <c r="AW126" i="3"/>
  <c r="J106" i="6" l="1"/>
  <c r="I120" i="1"/>
  <c r="AZ119" i="1"/>
  <c r="K127" i="3"/>
  <c r="L127" i="3" s="1"/>
  <c r="J127" i="3"/>
  <c r="I107" i="6" l="1"/>
  <c r="AZ106" i="6"/>
  <c r="N105" i="6"/>
  <c r="J120" i="1"/>
  <c r="K120" i="1"/>
  <c r="L120" i="1" s="1"/>
  <c r="I128" i="3"/>
  <c r="H128" i="3" s="1"/>
  <c r="AW127" i="3"/>
  <c r="J107" i="6" l="1"/>
  <c r="K107" i="6"/>
  <c r="L107" i="6" s="1"/>
  <c r="I121" i="1"/>
  <c r="AZ120" i="1"/>
  <c r="K128" i="3"/>
  <c r="L128" i="3" s="1"/>
  <c r="J128" i="3"/>
  <c r="I108" i="6" l="1"/>
  <c r="AZ107" i="6"/>
  <c r="N106" i="6"/>
  <c r="J121" i="1"/>
  <c r="K121" i="1"/>
  <c r="L121" i="1" s="1"/>
  <c r="I129" i="3"/>
  <c r="AW128" i="3"/>
  <c r="J108" i="6" l="1"/>
  <c r="K108" i="6"/>
  <c r="L108" i="6" s="1"/>
  <c r="I122" i="1"/>
  <c r="AZ121" i="1"/>
  <c r="K129" i="3"/>
  <c r="L129" i="3" s="1"/>
  <c r="J129" i="3"/>
  <c r="I109" i="6" l="1"/>
  <c r="H109" i="6" s="1"/>
  <c r="AZ108" i="6"/>
  <c r="N107" i="6"/>
  <c r="J122" i="1"/>
  <c r="K122" i="1"/>
  <c r="L122" i="1" s="1"/>
  <c r="AW129" i="3"/>
  <c r="M129" i="3"/>
  <c r="I130" i="3"/>
  <c r="H130" i="3" s="1"/>
  <c r="K109" i="6" l="1"/>
  <c r="L109" i="6" s="1"/>
  <c r="P5" i="3"/>
  <c r="P9" i="3"/>
  <c r="I123" i="1"/>
  <c r="M122" i="1"/>
  <c r="S5" i="1" s="1"/>
  <c r="AZ122" i="1"/>
  <c r="K130" i="3"/>
  <c r="L130" i="3" s="1"/>
  <c r="J130" i="3"/>
  <c r="J109" i="6" l="1"/>
  <c r="J123" i="1"/>
  <c r="K123" i="1"/>
  <c r="L123" i="1" s="1"/>
  <c r="I131" i="3"/>
  <c r="H131" i="3" s="1"/>
  <c r="AX130" i="3"/>
  <c r="I110" i="6" l="1"/>
  <c r="H110" i="6" s="1"/>
  <c r="AZ109" i="6"/>
  <c r="N108" i="6"/>
  <c r="I124" i="1"/>
  <c r="BA123" i="1"/>
  <c r="K131" i="3"/>
  <c r="L131" i="3" s="1"/>
  <c r="J131" i="3"/>
  <c r="K110" i="6" l="1"/>
  <c r="L110" i="6" s="1"/>
  <c r="J124" i="1"/>
  <c r="K124" i="1"/>
  <c r="L124" i="1" s="1"/>
  <c r="I132" i="3"/>
  <c r="H132" i="3" s="1"/>
  <c r="AX131" i="3"/>
  <c r="J110" i="6" l="1"/>
  <c r="I125" i="1"/>
  <c r="BA124" i="1"/>
  <c r="K132" i="3"/>
  <c r="L132" i="3" s="1"/>
  <c r="J132" i="3"/>
  <c r="AZ110" i="6" l="1"/>
  <c r="N109" i="6"/>
  <c r="I111" i="6"/>
  <c r="H111" i="6" s="1"/>
  <c r="J125" i="1"/>
  <c r="K125" i="1"/>
  <c r="L125" i="1" s="1"/>
  <c r="AX132" i="3"/>
  <c r="I133" i="3"/>
  <c r="H133" i="3" s="1"/>
  <c r="K111" i="6" l="1"/>
  <c r="L111" i="6" s="1"/>
  <c r="I126" i="1"/>
  <c r="BA125" i="1"/>
  <c r="K133" i="3"/>
  <c r="L133" i="3" s="1"/>
  <c r="J133" i="3"/>
  <c r="J111" i="6" l="1"/>
  <c r="N110" i="6" s="1"/>
  <c r="J126" i="1"/>
  <c r="K126" i="1"/>
  <c r="L126" i="1" s="1"/>
  <c r="AX133" i="3"/>
  <c r="I134" i="3"/>
  <c r="H134" i="3" s="1"/>
  <c r="I112" i="6" l="1"/>
  <c r="H112" i="6" s="1"/>
  <c r="AZ111" i="6"/>
  <c r="I127" i="1"/>
  <c r="BA126" i="1"/>
  <c r="K134" i="3"/>
  <c r="L134" i="3" s="1"/>
  <c r="J134" i="3"/>
  <c r="K112" i="6" l="1"/>
  <c r="L112" i="6" s="1"/>
  <c r="J127" i="1"/>
  <c r="K127" i="1"/>
  <c r="L127" i="1" s="1"/>
  <c r="I135" i="3"/>
  <c r="H135" i="3" s="1"/>
  <c r="AX134" i="3"/>
  <c r="J112" i="6" l="1"/>
  <c r="I128" i="1"/>
  <c r="BA127" i="1"/>
  <c r="K135" i="3"/>
  <c r="L135" i="3" s="1"/>
  <c r="J135" i="3"/>
  <c r="AZ112" i="6" l="1"/>
  <c r="N111" i="6"/>
  <c r="I113" i="6"/>
  <c r="J128" i="1"/>
  <c r="K128" i="1"/>
  <c r="L128" i="1" s="1"/>
  <c r="I136" i="3"/>
  <c r="AX135" i="3"/>
  <c r="H113" i="6" l="1"/>
  <c r="K113" i="6" s="1"/>
  <c r="L113" i="6" s="1"/>
  <c r="I129" i="1"/>
  <c r="BA128" i="1"/>
  <c r="K136" i="3"/>
  <c r="L136" i="3" s="1"/>
  <c r="J136" i="3"/>
  <c r="J113" i="6" l="1"/>
  <c r="N112" i="6" s="1"/>
  <c r="J129" i="1"/>
  <c r="K129" i="1"/>
  <c r="L129" i="1" s="1"/>
  <c r="I137" i="3"/>
  <c r="H137" i="3" s="1"/>
  <c r="AX136" i="3"/>
  <c r="I114" i="6" l="1"/>
  <c r="AZ113" i="6"/>
  <c r="I130" i="1"/>
  <c r="BA129" i="1"/>
  <c r="K137" i="3"/>
  <c r="L137" i="3" s="1"/>
  <c r="J137" i="3"/>
  <c r="K114" i="6" l="1"/>
  <c r="L114" i="6" s="1"/>
  <c r="J114" i="6"/>
  <c r="J130" i="1"/>
  <c r="K130" i="1"/>
  <c r="L130" i="1" s="1"/>
  <c r="AX137" i="3"/>
  <c r="I138" i="3"/>
  <c r="H138" i="3" s="1"/>
  <c r="AZ114" i="6" l="1"/>
  <c r="I115" i="6"/>
  <c r="N113" i="6"/>
  <c r="I131" i="1"/>
  <c r="BA130" i="1"/>
  <c r="K138" i="3"/>
  <c r="L138" i="3" s="1"/>
  <c r="J138" i="3"/>
  <c r="J115" i="6" l="1"/>
  <c r="K115" i="6"/>
  <c r="L115" i="6" s="1"/>
  <c r="J131" i="1"/>
  <c r="K131" i="1"/>
  <c r="L131" i="1" s="1"/>
  <c r="I139" i="3"/>
  <c r="H139" i="3" s="1"/>
  <c r="AX138" i="3"/>
  <c r="N114" i="6" l="1"/>
  <c r="M115" i="6"/>
  <c r="P8" i="6" s="1"/>
  <c r="I116" i="6"/>
  <c r="H116" i="6" s="1"/>
  <c r="K116" i="6" s="1"/>
  <c r="L116" i="6" s="1"/>
  <c r="AZ115" i="6"/>
  <c r="I132" i="1"/>
  <c r="BA131" i="1"/>
  <c r="K139" i="3"/>
  <c r="L139" i="3" s="1"/>
  <c r="J139" i="3"/>
  <c r="J116" i="6" l="1"/>
  <c r="N115" i="6" s="1"/>
  <c r="J132" i="1"/>
  <c r="K132" i="1"/>
  <c r="L132" i="1" s="1"/>
  <c r="I140" i="3"/>
  <c r="H140" i="3" s="1"/>
  <c r="AX139" i="3"/>
  <c r="I117" i="6" l="1"/>
  <c r="H117" i="6" s="1"/>
  <c r="K117" i="6" s="1"/>
  <c r="L117" i="6" s="1"/>
  <c r="I133" i="1"/>
  <c r="BA132" i="1"/>
  <c r="K140" i="3"/>
  <c r="L140" i="3" s="1"/>
  <c r="J140" i="3"/>
  <c r="J117" i="6" l="1"/>
  <c r="J133" i="1"/>
  <c r="K133" i="1"/>
  <c r="L133" i="1" s="1"/>
  <c r="I141" i="3"/>
  <c r="H141" i="3" s="1"/>
  <c r="AX140" i="3"/>
  <c r="N116" i="6" l="1"/>
  <c r="I118" i="6"/>
  <c r="H118" i="6" s="1"/>
  <c r="I134" i="1"/>
  <c r="BA133" i="1"/>
  <c r="K141" i="3"/>
  <c r="L141" i="3" s="1"/>
  <c r="J141" i="3"/>
  <c r="K118" i="6" l="1"/>
  <c r="L118" i="6" s="1"/>
  <c r="J134" i="1"/>
  <c r="K134" i="1"/>
  <c r="L134" i="1" s="1"/>
  <c r="AX141" i="3"/>
  <c r="I142" i="3"/>
  <c r="H142" i="3" s="1"/>
  <c r="J118" i="6" l="1"/>
  <c r="I135" i="1"/>
  <c r="BA134" i="1"/>
  <c r="K142" i="3"/>
  <c r="L142" i="3" s="1"/>
  <c r="J142" i="3"/>
  <c r="I119" i="6" l="1"/>
  <c r="H119" i="6" s="1"/>
  <c r="N117" i="6"/>
  <c r="J135" i="1"/>
  <c r="K135" i="1"/>
  <c r="L135" i="1" s="1"/>
  <c r="I143" i="3"/>
  <c r="AX142" i="3"/>
  <c r="K119" i="6" l="1"/>
  <c r="L119" i="6" s="1"/>
  <c r="I136" i="1"/>
  <c r="BA135" i="1"/>
  <c r="K143" i="3"/>
  <c r="L143" i="3" s="1"/>
  <c r="J143" i="3"/>
  <c r="M143" i="3" s="1"/>
  <c r="P10" i="3" s="1"/>
  <c r="J119" i="6" l="1"/>
  <c r="J136" i="1"/>
  <c r="K136" i="1"/>
  <c r="L136" i="1" s="1"/>
  <c r="I144" i="3"/>
  <c r="H144" i="3" s="1"/>
  <c r="AX143" i="3"/>
  <c r="I120" i="6" l="1"/>
  <c r="H120" i="6" s="1"/>
  <c r="N118" i="6"/>
  <c r="I137" i="1"/>
  <c r="BA136" i="1"/>
  <c r="K144" i="3"/>
  <c r="L144" i="3" s="1"/>
  <c r="J144" i="3"/>
  <c r="K120" i="6" l="1"/>
  <c r="L120" i="6" s="1"/>
  <c r="J137" i="1"/>
  <c r="K137" i="1"/>
  <c r="L137" i="1" s="1"/>
  <c r="AX144" i="3"/>
  <c r="I145" i="3"/>
  <c r="H145" i="3" s="1"/>
  <c r="J120" i="6" l="1"/>
  <c r="I138" i="1"/>
  <c r="BA137" i="1"/>
  <c r="K145" i="3"/>
  <c r="L145" i="3" s="1"/>
  <c r="J145" i="3"/>
  <c r="I121" i="6" l="1"/>
  <c r="H121" i="6" s="1"/>
  <c r="N119" i="6"/>
  <c r="J138" i="1"/>
  <c r="K138" i="1"/>
  <c r="L138" i="1" s="1"/>
  <c r="AX145" i="3"/>
  <c r="I146" i="3"/>
  <c r="H146" i="3" s="1"/>
  <c r="K121" i="6" l="1"/>
  <c r="L121" i="6" s="1"/>
  <c r="J121" i="6"/>
  <c r="I139" i="1"/>
  <c r="BA138" i="1"/>
  <c r="K146" i="3"/>
  <c r="L146" i="3" s="1"/>
  <c r="J146" i="3"/>
  <c r="I122" i="6" l="1"/>
  <c r="N120" i="6"/>
  <c r="J139" i="1"/>
  <c r="K139" i="1"/>
  <c r="L139" i="1" s="1"/>
  <c r="I147" i="3"/>
  <c r="H147" i="3" s="1"/>
  <c r="AX146" i="3"/>
  <c r="J122" i="6" l="1"/>
  <c r="K122" i="6"/>
  <c r="L122" i="6" s="1"/>
  <c r="I140" i="1"/>
  <c r="BA139" i="1"/>
  <c r="K147" i="3"/>
  <c r="L147" i="3" s="1"/>
  <c r="J147" i="3"/>
  <c r="I123" i="6" l="1"/>
  <c r="H123" i="6" s="1"/>
  <c r="N121" i="6"/>
  <c r="J140" i="1"/>
  <c r="K140" i="1"/>
  <c r="L140" i="1" s="1"/>
  <c r="I148" i="3"/>
  <c r="H148" i="3" s="1"/>
  <c r="AX147" i="3"/>
  <c r="K123" i="6" l="1"/>
  <c r="L123" i="6" s="1"/>
  <c r="I141" i="1"/>
  <c r="BA140" i="1"/>
  <c r="K148" i="3"/>
  <c r="L148" i="3" s="1"/>
  <c r="J148" i="3"/>
  <c r="J123" i="6" l="1"/>
  <c r="J141" i="1"/>
  <c r="K141" i="1"/>
  <c r="L141" i="1" s="1"/>
  <c r="I149" i="3"/>
  <c r="H149" i="3" s="1"/>
  <c r="AX148" i="3"/>
  <c r="I124" i="6" l="1"/>
  <c r="H124" i="6" s="1"/>
  <c r="N122" i="6"/>
  <c r="I142" i="1"/>
  <c r="BA141" i="1"/>
  <c r="K149" i="3"/>
  <c r="L149" i="3" s="1"/>
  <c r="J149" i="3"/>
  <c r="K124" i="6" l="1"/>
  <c r="L124" i="6" s="1"/>
  <c r="J142" i="1"/>
  <c r="K142" i="1"/>
  <c r="L142" i="1" s="1"/>
  <c r="AX149" i="3"/>
  <c r="I150" i="3"/>
  <c r="J124" i="6" l="1"/>
  <c r="I143" i="1"/>
  <c r="BA142" i="1"/>
  <c r="K150" i="3"/>
  <c r="L150" i="3" s="1"/>
  <c r="J150" i="3"/>
  <c r="I125" i="6" l="1"/>
  <c r="H125" i="6" s="1"/>
  <c r="N123" i="6"/>
  <c r="J143" i="1"/>
  <c r="K143" i="1"/>
  <c r="L143" i="1" s="1"/>
  <c r="I151" i="3"/>
  <c r="H151" i="3" s="1"/>
  <c r="AX150" i="3"/>
  <c r="K125" i="6" l="1"/>
  <c r="L125" i="6" s="1"/>
  <c r="I144" i="1"/>
  <c r="BA143" i="1"/>
  <c r="K151" i="3"/>
  <c r="L151" i="3" s="1"/>
  <c r="J151" i="3"/>
  <c r="J125" i="6" l="1"/>
  <c r="J144" i="1"/>
  <c r="K144" i="1"/>
  <c r="L144" i="1" s="1"/>
  <c r="I152" i="3"/>
  <c r="H152" i="3" s="1"/>
  <c r="AX151" i="3"/>
  <c r="I126" i="6" l="1"/>
  <c r="H126" i="6" s="1"/>
  <c r="N124" i="6"/>
  <c r="I145" i="1"/>
  <c r="BA144" i="1"/>
  <c r="K152" i="3"/>
  <c r="L152" i="3" s="1"/>
  <c r="J152" i="3"/>
  <c r="K126" i="6" l="1"/>
  <c r="L126" i="6" s="1"/>
  <c r="J145" i="1"/>
  <c r="K145" i="1"/>
  <c r="L145" i="1" s="1"/>
  <c r="AX152" i="3"/>
  <c r="I153" i="3"/>
  <c r="H153" i="3" s="1"/>
  <c r="J126" i="6" l="1"/>
  <c r="I146" i="1"/>
  <c r="BA145" i="1"/>
  <c r="K153" i="3"/>
  <c r="L153" i="3" s="1"/>
  <c r="J153" i="3"/>
  <c r="I127" i="6" l="1"/>
  <c r="H127" i="6" s="1"/>
  <c r="N125" i="6"/>
  <c r="J146" i="1"/>
  <c r="K146" i="1"/>
  <c r="L146" i="1" s="1"/>
  <c r="AX153" i="3"/>
  <c r="I154" i="3"/>
  <c r="H154" i="3" s="1"/>
  <c r="K127" i="6" l="1"/>
  <c r="L127" i="6" s="1"/>
  <c r="I147" i="1"/>
  <c r="BA146" i="1"/>
  <c r="J154" i="3"/>
  <c r="K154" i="3"/>
  <c r="L154" i="3" s="1"/>
  <c r="J127" i="6" l="1"/>
  <c r="J147" i="1"/>
  <c r="K147" i="1"/>
  <c r="L147" i="1" s="1"/>
  <c r="I155" i="3"/>
  <c r="H155" i="3" s="1"/>
  <c r="AX154" i="3"/>
  <c r="N126" i="6" l="1"/>
  <c r="I128" i="6"/>
  <c r="H128" i="6" s="1"/>
  <c r="I148" i="1"/>
  <c r="BA147" i="1"/>
  <c r="K155" i="3"/>
  <c r="L155" i="3" s="1"/>
  <c r="J155" i="3"/>
  <c r="K128" i="6" l="1"/>
  <c r="L128" i="6" s="1"/>
  <c r="J148" i="1"/>
  <c r="K148" i="1"/>
  <c r="L148" i="1" s="1"/>
  <c r="I156" i="3"/>
  <c r="H156" i="3" s="1"/>
  <c r="AX155" i="3"/>
  <c r="J128" i="6" l="1"/>
  <c r="I149" i="1"/>
  <c r="BA148" i="1"/>
  <c r="K156" i="3"/>
  <c r="L156" i="3" s="1"/>
  <c r="J156" i="3"/>
  <c r="N127" i="6" l="1"/>
  <c r="I129" i="6"/>
  <c r="J149" i="1"/>
  <c r="K149" i="1"/>
  <c r="L149" i="1" s="1"/>
  <c r="I157" i="3"/>
  <c r="AX156" i="3"/>
  <c r="J129" i="6" l="1"/>
  <c r="K129" i="6"/>
  <c r="L129" i="6" s="1"/>
  <c r="I150" i="1"/>
  <c r="BA149" i="1"/>
  <c r="K157" i="3"/>
  <c r="L157" i="3" s="1"/>
  <c r="J157" i="3"/>
  <c r="N128" i="6" l="1"/>
  <c r="M129" i="6"/>
  <c r="P9" i="6" s="1"/>
  <c r="I130" i="6"/>
  <c r="H130" i="6" s="1"/>
  <c r="J150" i="1"/>
  <c r="K150" i="1"/>
  <c r="L150" i="1" s="1"/>
  <c r="AX157" i="3"/>
  <c r="M157" i="3"/>
  <c r="I158" i="3"/>
  <c r="H158" i="3" s="1"/>
  <c r="K130" i="6" l="1"/>
  <c r="L130" i="6" s="1"/>
  <c r="P6" i="3"/>
  <c r="P11" i="3"/>
  <c r="I151" i="1"/>
  <c r="BA150" i="1"/>
  <c r="M150" i="1"/>
  <c r="S6" i="1" s="1"/>
  <c r="K158" i="3"/>
  <c r="L158" i="3" s="1"/>
  <c r="J158" i="3"/>
  <c r="J130" i="6" l="1"/>
  <c r="J151" i="1"/>
  <c r="K151" i="1"/>
  <c r="L151" i="1" s="1"/>
  <c r="I159" i="3"/>
  <c r="H159" i="3" s="1"/>
  <c r="AY158" i="3"/>
  <c r="N129" i="6" l="1"/>
  <c r="I131" i="6"/>
  <c r="H131" i="6" s="1"/>
  <c r="I152" i="1"/>
  <c r="BB151" i="1"/>
  <c r="K159" i="3"/>
  <c r="L159" i="3" s="1"/>
  <c r="J159" i="3"/>
  <c r="K131" i="6" l="1"/>
  <c r="L131" i="6" s="1"/>
  <c r="J152" i="1"/>
  <c r="K152" i="1"/>
  <c r="L152" i="1" s="1"/>
  <c r="I160" i="3"/>
  <c r="H160" i="3" s="1"/>
  <c r="AY159" i="3"/>
  <c r="J131" i="6" l="1"/>
  <c r="I153" i="1"/>
  <c r="BB152" i="1"/>
  <c r="K160" i="3"/>
  <c r="L160" i="3" s="1"/>
  <c r="J160" i="3"/>
  <c r="N130" i="6" l="1"/>
  <c r="I132" i="6"/>
  <c r="H132" i="6" s="1"/>
  <c r="J153" i="1"/>
  <c r="K153" i="1"/>
  <c r="L153" i="1" s="1"/>
  <c r="AY160" i="3"/>
  <c r="I161" i="3"/>
  <c r="H161" i="3" s="1"/>
  <c r="K132" i="6" l="1"/>
  <c r="L132" i="6" s="1"/>
  <c r="I154" i="1"/>
  <c r="BB153" i="1"/>
  <c r="K161" i="3"/>
  <c r="L161" i="3" s="1"/>
  <c r="J161" i="3"/>
  <c r="J132" i="6" l="1"/>
  <c r="N131" i="6" s="1"/>
  <c r="J154" i="1"/>
  <c r="K154" i="1"/>
  <c r="L154" i="1" s="1"/>
  <c r="AY161" i="3"/>
  <c r="I162" i="3"/>
  <c r="H162" i="3" s="1"/>
  <c r="I133" i="6" l="1"/>
  <c r="H133" i="6" s="1"/>
  <c r="I155" i="1"/>
  <c r="BB154" i="1"/>
  <c r="K162" i="3"/>
  <c r="L162" i="3" s="1"/>
  <c r="J162" i="3"/>
  <c r="K133" i="6" l="1"/>
  <c r="L133" i="6" s="1"/>
  <c r="J155" i="1"/>
  <c r="K155" i="1"/>
  <c r="L155" i="1" s="1"/>
  <c r="I163" i="3"/>
  <c r="AY162" i="3"/>
  <c r="J133" i="6" l="1"/>
  <c r="N132" i="6" s="1"/>
  <c r="I156" i="1"/>
  <c r="BB155" i="1"/>
  <c r="K163" i="3"/>
  <c r="L163" i="3" s="1"/>
  <c r="J163" i="3"/>
  <c r="I134" i="6" l="1"/>
  <c r="H134" i="6" s="1"/>
  <c r="K134" i="6" s="1"/>
  <c r="L134" i="6" s="1"/>
  <c r="J156" i="1"/>
  <c r="K156" i="1"/>
  <c r="L156" i="1" s="1"/>
  <c r="I164" i="3"/>
  <c r="AY163" i="3"/>
  <c r="J134" i="6" l="1"/>
  <c r="N133" i="6" s="1"/>
  <c r="I157" i="1"/>
  <c r="BB156" i="1"/>
  <c r="K164" i="3"/>
  <c r="L164" i="3" s="1"/>
  <c r="J164" i="3"/>
  <c r="I135" i="6" l="1"/>
  <c r="J135" i="6" s="1"/>
  <c r="J157" i="1"/>
  <c r="K157" i="1"/>
  <c r="L157" i="1" s="1"/>
  <c r="I165" i="3"/>
  <c r="H165" i="3" s="1"/>
  <c r="AY164" i="3"/>
  <c r="K135" i="6" l="1"/>
  <c r="L135" i="6" s="1"/>
  <c r="N134" i="6"/>
  <c r="I136" i="6"/>
  <c r="I158" i="1"/>
  <c r="BB157" i="1"/>
  <c r="K165" i="3"/>
  <c r="L165" i="3" s="1"/>
  <c r="J165" i="3"/>
  <c r="K136" i="6" l="1"/>
  <c r="L136" i="6" s="1"/>
  <c r="J136" i="6"/>
  <c r="J158" i="1"/>
  <c r="K158" i="1"/>
  <c r="L158" i="1" s="1"/>
  <c r="AY165" i="3"/>
  <c r="I166" i="3"/>
  <c r="H166" i="3" s="1"/>
  <c r="I137" i="6" l="1"/>
  <c r="H137" i="6" s="1"/>
  <c r="N135" i="6"/>
  <c r="I159" i="1"/>
  <c r="BB158" i="1"/>
  <c r="K166" i="3"/>
  <c r="L166" i="3" s="1"/>
  <c r="J166" i="3"/>
  <c r="K137" i="6" l="1"/>
  <c r="L137" i="6" s="1"/>
  <c r="J137" i="6"/>
  <c r="J159" i="1"/>
  <c r="K159" i="1"/>
  <c r="L159" i="1" s="1"/>
  <c r="I167" i="3"/>
  <c r="H167" i="3" s="1"/>
  <c r="AY166" i="3"/>
  <c r="I138" i="6" l="1"/>
  <c r="H138" i="6" s="1"/>
  <c r="N136" i="6"/>
  <c r="I160" i="1"/>
  <c r="BB159" i="1"/>
  <c r="K167" i="3"/>
  <c r="L167" i="3" s="1"/>
  <c r="J167" i="3"/>
  <c r="K138" i="6" l="1"/>
  <c r="L138" i="6" s="1"/>
  <c r="J160" i="1"/>
  <c r="K160" i="1"/>
  <c r="L160" i="1" s="1"/>
  <c r="I168" i="3"/>
  <c r="H168" i="3" s="1"/>
  <c r="AY167" i="3"/>
  <c r="J138" i="6" l="1"/>
  <c r="I161" i="1"/>
  <c r="BB160" i="1"/>
  <c r="K168" i="3"/>
  <c r="L168" i="3" s="1"/>
  <c r="J168" i="3"/>
  <c r="I139" i="6" l="1"/>
  <c r="H139" i="6" s="1"/>
  <c r="N137" i="6"/>
  <c r="J161" i="1"/>
  <c r="K161" i="1"/>
  <c r="L161" i="1" s="1"/>
  <c r="I169" i="3"/>
  <c r="H169" i="3" s="1"/>
  <c r="AY168" i="3"/>
  <c r="K139" i="6" l="1"/>
  <c r="L139" i="6" s="1"/>
  <c r="I162" i="1"/>
  <c r="BB161" i="1"/>
  <c r="K169" i="3"/>
  <c r="L169" i="3" s="1"/>
  <c r="J169" i="3"/>
  <c r="J139" i="6" l="1"/>
  <c r="J162" i="1"/>
  <c r="K162" i="1"/>
  <c r="L162" i="1" s="1"/>
  <c r="AY169" i="3"/>
  <c r="I170" i="3"/>
  <c r="I140" i="6" l="1"/>
  <c r="H140" i="6" s="1"/>
  <c r="N138" i="6"/>
  <c r="I163" i="1"/>
  <c r="BB162" i="1"/>
  <c r="J170" i="3"/>
  <c r="K170" i="3"/>
  <c r="L170" i="3" s="1"/>
  <c r="K140" i="6" l="1"/>
  <c r="L140" i="6" s="1"/>
  <c r="J163" i="1"/>
  <c r="K163" i="1"/>
  <c r="L163" i="1" s="1"/>
  <c r="I171" i="3"/>
  <c r="AY170" i="3"/>
  <c r="J140" i="6" l="1"/>
  <c r="I141" i="6" s="1"/>
  <c r="H141" i="6" s="1"/>
  <c r="I164" i="1"/>
  <c r="BB163" i="1"/>
  <c r="K171" i="3"/>
  <c r="L171" i="3" s="1"/>
  <c r="J171" i="3"/>
  <c r="M171" i="3" s="1"/>
  <c r="P12" i="3" s="1"/>
  <c r="N139" i="6" l="1"/>
  <c r="K141" i="6"/>
  <c r="L141" i="6" s="1"/>
  <c r="J164" i="1"/>
  <c r="K164" i="1"/>
  <c r="L164" i="1" s="1"/>
  <c r="I172" i="3"/>
  <c r="H172" i="3" s="1"/>
  <c r="AY171" i="3"/>
  <c r="J141" i="6" l="1"/>
  <c r="I165" i="1"/>
  <c r="BB164" i="1"/>
  <c r="K172" i="3"/>
  <c r="L172" i="3" s="1"/>
  <c r="J172" i="3"/>
  <c r="I142" i="6" l="1"/>
  <c r="N140" i="6"/>
  <c r="J165" i="1"/>
  <c r="K165" i="1"/>
  <c r="L165" i="1" s="1"/>
  <c r="I173" i="3"/>
  <c r="H173" i="3" s="1"/>
  <c r="AY172" i="3"/>
  <c r="J142" i="6" l="1"/>
  <c r="K142" i="6"/>
  <c r="L142" i="6" s="1"/>
  <c r="I166" i="1"/>
  <c r="BB165" i="1"/>
  <c r="K173" i="3"/>
  <c r="L173" i="3" s="1"/>
  <c r="J173" i="3"/>
  <c r="I143" i="6" l="1"/>
  <c r="N141" i="6"/>
  <c r="J166" i="1"/>
  <c r="K166" i="1"/>
  <c r="L166" i="1" s="1"/>
  <c r="AY173" i="3"/>
  <c r="I174" i="3"/>
  <c r="H174" i="3" s="1"/>
  <c r="J143" i="6" l="1"/>
  <c r="K143" i="6"/>
  <c r="L143" i="6" s="1"/>
  <c r="I167" i="1"/>
  <c r="BB166" i="1"/>
  <c r="K174" i="3"/>
  <c r="L174" i="3" s="1"/>
  <c r="J174" i="3"/>
  <c r="N142" i="6" l="1"/>
  <c r="M143" i="6"/>
  <c r="P10" i="6" s="1"/>
  <c r="I144" i="6"/>
  <c r="H144" i="6" s="1"/>
  <c r="J167" i="1"/>
  <c r="K167" i="1"/>
  <c r="L167" i="1" s="1"/>
  <c r="I175" i="3"/>
  <c r="H175" i="3" s="1"/>
  <c r="AY174" i="3"/>
  <c r="K144" i="6" l="1"/>
  <c r="L144" i="6" s="1"/>
  <c r="I168" i="1"/>
  <c r="BB167" i="1"/>
  <c r="K175" i="3"/>
  <c r="L175" i="3" s="1"/>
  <c r="J175" i="3"/>
  <c r="J144" i="6" l="1"/>
  <c r="N143" i="6" s="1"/>
  <c r="J168" i="1"/>
  <c r="K168" i="1"/>
  <c r="L168" i="1" s="1"/>
  <c r="I176" i="3"/>
  <c r="H176" i="3" s="1"/>
  <c r="AY175" i="3"/>
  <c r="I145" i="6" l="1"/>
  <c r="H145" i="6" s="1"/>
  <c r="K145" i="6" s="1"/>
  <c r="L145" i="6" s="1"/>
  <c r="I169" i="1"/>
  <c r="BB168" i="1"/>
  <c r="K176" i="3"/>
  <c r="L176" i="3" s="1"/>
  <c r="J176" i="3"/>
  <c r="J145" i="6" l="1"/>
  <c r="N144" i="6" s="1"/>
  <c r="J169" i="1"/>
  <c r="K169" i="1"/>
  <c r="L169" i="1" s="1"/>
  <c r="AY176" i="3"/>
  <c r="I177" i="3"/>
  <c r="I146" i="6" l="1"/>
  <c r="H146" i="6" s="1"/>
  <c r="I170" i="1"/>
  <c r="BB169" i="1"/>
  <c r="K177" i="3"/>
  <c r="L177" i="3" s="1"/>
  <c r="J177" i="3"/>
  <c r="K146" i="6" l="1"/>
  <c r="L146" i="6" s="1"/>
  <c r="J146" i="6"/>
  <c r="J170" i="1"/>
  <c r="K170" i="1"/>
  <c r="L170" i="1" s="1"/>
  <c r="AY177" i="3"/>
  <c r="I178" i="3"/>
  <c r="N145" i="6" l="1"/>
  <c r="I147" i="6"/>
  <c r="H147" i="6" s="1"/>
  <c r="I171" i="1"/>
  <c r="BB170" i="1"/>
  <c r="K178" i="3"/>
  <c r="L178" i="3" s="1"/>
  <c r="J178" i="3"/>
  <c r="K147" i="6" l="1"/>
  <c r="L147" i="6" s="1"/>
  <c r="J171" i="1"/>
  <c r="K171" i="1"/>
  <c r="L171" i="1" s="1"/>
  <c r="I179" i="3"/>
  <c r="H179" i="3" s="1"/>
  <c r="AY178" i="3"/>
  <c r="J147" i="6" l="1"/>
  <c r="I172" i="1"/>
  <c r="BB171" i="1"/>
  <c r="K179" i="3"/>
  <c r="L179" i="3" s="1"/>
  <c r="J179" i="3"/>
  <c r="N146" i="6" l="1"/>
  <c r="I148" i="6"/>
  <c r="H148" i="6" s="1"/>
  <c r="J172" i="1"/>
  <c r="K172" i="1"/>
  <c r="L172" i="1" s="1"/>
  <c r="I180" i="3"/>
  <c r="H180" i="3" s="1"/>
  <c r="AY179" i="3"/>
  <c r="K148" i="6" l="1"/>
  <c r="L148" i="6" s="1"/>
  <c r="I173" i="1"/>
  <c r="BB172" i="1"/>
  <c r="K180" i="3"/>
  <c r="L180" i="3" s="1"/>
  <c r="J180" i="3"/>
  <c r="J148" i="6" l="1"/>
  <c r="J173" i="1"/>
  <c r="K173" i="1"/>
  <c r="L173" i="1" s="1"/>
  <c r="I181" i="3"/>
  <c r="H181" i="3" s="1"/>
  <c r="AY180" i="3"/>
  <c r="N147" i="6" l="1"/>
  <c r="I149" i="6"/>
  <c r="H149" i="6" s="1"/>
  <c r="I174" i="1"/>
  <c r="BB173" i="1"/>
  <c r="K181" i="3"/>
  <c r="L181" i="3" s="1"/>
  <c r="J181" i="3"/>
  <c r="K149" i="6" l="1"/>
  <c r="L149" i="6" s="1"/>
  <c r="J174" i="1"/>
  <c r="K174" i="1"/>
  <c r="L174" i="1" s="1"/>
  <c r="AY181" i="3"/>
  <c r="I182" i="3"/>
  <c r="H182" i="3" s="1"/>
  <c r="J149" i="6" l="1"/>
  <c r="I150" i="6" s="1"/>
  <c r="I175" i="1"/>
  <c r="BB174" i="1"/>
  <c r="J182" i="3"/>
  <c r="K182" i="3"/>
  <c r="L182" i="3" s="1"/>
  <c r="N148" i="6" l="1"/>
  <c r="J150" i="6"/>
  <c r="K150" i="6"/>
  <c r="L150" i="6" s="1"/>
  <c r="J175" i="1"/>
  <c r="K175" i="1"/>
  <c r="L175" i="1" s="1"/>
  <c r="I183" i="3"/>
  <c r="H183" i="3" s="1"/>
  <c r="AY182" i="3"/>
  <c r="I151" i="6" l="1"/>
  <c r="H151" i="6" s="1"/>
  <c r="N149" i="6"/>
  <c r="I176" i="1"/>
  <c r="BB175" i="1"/>
  <c r="K183" i="3"/>
  <c r="L183" i="3" s="1"/>
  <c r="J183" i="3"/>
  <c r="K151" i="6" l="1"/>
  <c r="L151" i="6" s="1"/>
  <c r="J176" i="1"/>
  <c r="K176" i="1"/>
  <c r="L176" i="1" s="1"/>
  <c r="I184" i="3"/>
  <c r="AY183" i="3"/>
  <c r="J151" i="6" l="1"/>
  <c r="I152" i="6" s="1"/>
  <c r="H152" i="6" s="1"/>
  <c r="I177" i="1"/>
  <c r="BB176" i="1"/>
  <c r="K184" i="3"/>
  <c r="L184" i="3" s="1"/>
  <c r="J184" i="3"/>
  <c r="N150" i="6" l="1"/>
  <c r="K152" i="6"/>
  <c r="L152" i="6" s="1"/>
  <c r="J177" i="1"/>
  <c r="K177" i="1"/>
  <c r="L177" i="1" s="1"/>
  <c r="AY184" i="3"/>
  <c r="I185" i="3"/>
  <c r="J152" i="6" l="1"/>
  <c r="I178" i="1"/>
  <c r="BB177" i="1"/>
  <c r="K185" i="3"/>
  <c r="L185" i="3" s="1"/>
  <c r="J185" i="3"/>
  <c r="I153" i="6" l="1"/>
  <c r="H153" i="6" s="1"/>
  <c r="N151" i="6"/>
  <c r="J178" i="1"/>
  <c r="K178" i="1"/>
  <c r="L178" i="1" s="1"/>
  <c r="AY185" i="3"/>
  <c r="M185" i="3"/>
  <c r="I186" i="3"/>
  <c r="H186" i="3" s="1"/>
  <c r="K153" i="6" l="1"/>
  <c r="L153" i="6" s="1"/>
  <c r="P7" i="3"/>
  <c r="P13" i="3"/>
  <c r="I179" i="1"/>
  <c r="BB178" i="1"/>
  <c r="M178" i="1"/>
  <c r="S7" i="1" s="1"/>
  <c r="K186" i="3"/>
  <c r="L186" i="3" s="1"/>
  <c r="J186" i="3"/>
  <c r="J153" i="6" l="1"/>
  <c r="J179" i="1"/>
  <c r="K179" i="1"/>
  <c r="L179" i="1" s="1"/>
  <c r="I187" i="3"/>
  <c r="H187" i="3" s="1"/>
  <c r="AZ186" i="3"/>
  <c r="I154" i="6" l="1"/>
  <c r="H154" i="6" s="1"/>
  <c r="N152" i="6"/>
  <c r="I180" i="1"/>
  <c r="BC179" i="1"/>
  <c r="K187" i="3"/>
  <c r="L187" i="3" s="1"/>
  <c r="J187" i="3"/>
  <c r="K154" i="6" l="1"/>
  <c r="L154" i="6" s="1"/>
  <c r="J180" i="1"/>
  <c r="K180" i="1"/>
  <c r="L180" i="1" s="1"/>
  <c r="I188" i="3"/>
  <c r="H188" i="3" s="1"/>
  <c r="AZ187" i="3"/>
  <c r="J154" i="6" l="1"/>
  <c r="I181" i="1"/>
  <c r="BC180" i="1"/>
  <c r="K188" i="3"/>
  <c r="L188" i="3" s="1"/>
  <c r="J188" i="3"/>
  <c r="I155" i="6" l="1"/>
  <c r="H155" i="6" s="1"/>
  <c r="N153" i="6"/>
  <c r="J181" i="1"/>
  <c r="K181" i="1"/>
  <c r="L181" i="1" s="1"/>
  <c r="I189" i="3"/>
  <c r="H189" i="3" s="1"/>
  <c r="AZ188" i="3"/>
  <c r="K155" i="6" l="1"/>
  <c r="L155" i="6" s="1"/>
  <c r="I182" i="1"/>
  <c r="BC181" i="1"/>
  <c r="K189" i="3"/>
  <c r="L189" i="3" s="1"/>
  <c r="J189" i="3"/>
  <c r="J155" i="6" l="1"/>
  <c r="J182" i="1"/>
  <c r="K182" i="1"/>
  <c r="L182" i="1" s="1"/>
  <c r="AZ189" i="3"/>
  <c r="I190" i="3"/>
  <c r="H190" i="3" s="1"/>
  <c r="I156" i="6" l="1"/>
  <c r="H156" i="6" s="1"/>
  <c r="N154" i="6"/>
  <c r="I183" i="1"/>
  <c r="BC182" i="1"/>
  <c r="K190" i="3"/>
  <c r="L190" i="3" s="1"/>
  <c r="J190" i="3"/>
  <c r="K156" i="6" l="1"/>
  <c r="L156" i="6" s="1"/>
  <c r="J183" i="1"/>
  <c r="K183" i="1"/>
  <c r="L183" i="1" s="1"/>
  <c r="I191" i="3"/>
  <c r="H191" i="3" s="1"/>
  <c r="AZ190" i="3"/>
  <c r="J156" i="6" l="1"/>
  <c r="I184" i="1"/>
  <c r="BC183" i="1"/>
  <c r="K191" i="3"/>
  <c r="L191" i="3" s="1"/>
  <c r="J191" i="3"/>
  <c r="I157" i="6" l="1"/>
  <c r="N155" i="6"/>
  <c r="J184" i="1"/>
  <c r="K184" i="1"/>
  <c r="L184" i="1" s="1"/>
  <c r="AZ191" i="3"/>
  <c r="I192" i="3"/>
  <c r="J157" i="6" l="1"/>
  <c r="K157" i="6"/>
  <c r="L157" i="6" s="1"/>
  <c r="I185" i="1"/>
  <c r="BC184" i="1"/>
  <c r="K192" i="3"/>
  <c r="L192" i="3" s="1"/>
  <c r="J192" i="3"/>
  <c r="M157" i="6" l="1"/>
  <c r="P11" i="6" s="1"/>
  <c r="I158" i="6"/>
  <c r="H158" i="6" s="1"/>
  <c r="N156" i="6"/>
  <c r="J185" i="1"/>
  <c r="K185" i="1"/>
  <c r="L185" i="1" s="1"/>
  <c r="I193" i="3"/>
  <c r="H193" i="3" s="1"/>
  <c r="AZ192" i="3"/>
  <c r="K158" i="6" l="1"/>
  <c r="L158" i="6" s="1"/>
  <c r="I186" i="1"/>
  <c r="BC185" i="1"/>
  <c r="K193" i="3"/>
  <c r="L193" i="3" s="1"/>
  <c r="J193" i="3"/>
  <c r="J158" i="6" l="1"/>
  <c r="J186" i="1"/>
  <c r="K186" i="1"/>
  <c r="L186" i="1" s="1"/>
  <c r="AZ193" i="3"/>
  <c r="I194" i="3"/>
  <c r="H194" i="3" s="1"/>
  <c r="N157" i="6" l="1"/>
  <c r="I159" i="6"/>
  <c r="H159" i="6" s="1"/>
  <c r="I187" i="1"/>
  <c r="BC186" i="1"/>
  <c r="K194" i="3"/>
  <c r="L194" i="3" s="1"/>
  <c r="J194" i="3"/>
  <c r="K159" i="6" l="1"/>
  <c r="L159" i="6" s="1"/>
  <c r="J187" i="1"/>
  <c r="K187" i="1"/>
  <c r="L187" i="1" s="1"/>
  <c r="I195" i="3"/>
  <c r="H195" i="3" s="1"/>
  <c r="AZ194" i="3"/>
  <c r="J159" i="6" l="1"/>
  <c r="I188" i="1"/>
  <c r="BC187" i="1"/>
  <c r="K195" i="3"/>
  <c r="L195" i="3" s="1"/>
  <c r="J195" i="3"/>
  <c r="N158" i="6" l="1"/>
  <c r="I160" i="6"/>
  <c r="H160" i="6" s="1"/>
  <c r="J188" i="1"/>
  <c r="K188" i="1"/>
  <c r="L188" i="1" s="1"/>
  <c r="AZ195" i="3"/>
  <c r="I196" i="3"/>
  <c r="H196" i="3" s="1"/>
  <c r="K160" i="6" l="1"/>
  <c r="L160" i="6" s="1"/>
  <c r="I189" i="1"/>
  <c r="BC188" i="1"/>
  <c r="K196" i="3"/>
  <c r="L196" i="3" s="1"/>
  <c r="J196" i="3"/>
  <c r="J160" i="6" l="1"/>
  <c r="N159" i="6" s="1"/>
  <c r="J189" i="1"/>
  <c r="K189" i="1"/>
  <c r="L189" i="1" s="1"/>
  <c r="I197" i="3"/>
  <c r="H197" i="3" s="1"/>
  <c r="AZ196" i="3"/>
  <c r="I161" i="6" l="1"/>
  <c r="H161" i="6" s="1"/>
  <c r="K161" i="6" s="1"/>
  <c r="L161" i="6" s="1"/>
  <c r="I190" i="1"/>
  <c r="BC189" i="1"/>
  <c r="K197" i="3"/>
  <c r="L197" i="3" s="1"/>
  <c r="J197" i="3"/>
  <c r="J161" i="6" l="1"/>
  <c r="J190" i="1"/>
  <c r="K190" i="1"/>
  <c r="L190" i="1" s="1"/>
  <c r="AZ197" i="3"/>
  <c r="I198" i="3"/>
  <c r="H198" i="3" s="1"/>
  <c r="N160" i="6" l="1"/>
  <c r="I162" i="6"/>
  <c r="H162" i="6" s="1"/>
  <c r="I191" i="1"/>
  <c r="BC190" i="1"/>
  <c r="K198" i="3"/>
  <c r="L198" i="3" s="1"/>
  <c r="J198" i="3"/>
  <c r="K162" i="6" l="1"/>
  <c r="L162" i="6" s="1"/>
  <c r="J191" i="1"/>
  <c r="K191" i="1"/>
  <c r="L191" i="1" s="1"/>
  <c r="I199" i="3"/>
  <c r="AZ198" i="3"/>
  <c r="J162" i="6" l="1"/>
  <c r="I192" i="1"/>
  <c r="BC191" i="1"/>
  <c r="K199" i="3"/>
  <c r="L199" i="3" s="1"/>
  <c r="J199" i="3"/>
  <c r="M199" i="3" s="1"/>
  <c r="P14" i="3" s="1"/>
  <c r="N161" i="6" l="1"/>
  <c r="I163" i="6"/>
  <c r="J192" i="1"/>
  <c r="K192" i="1"/>
  <c r="L192" i="1" s="1"/>
  <c r="I200" i="3"/>
  <c r="H200" i="3" s="1"/>
  <c r="AZ199" i="3"/>
  <c r="J163" i="6" l="1"/>
  <c r="K163" i="6"/>
  <c r="L163" i="6" s="1"/>
  <c r="I193" i="1"/>
  <c r="BC192" i="1"/>
  <c r="K200" i="3"/>
  <c r="L200" i="3" s="1"/>
  <c r="J200" i="3"/>
  <c r="N162" i="6" l="1"/>
  <c r="I164" i="6"/>
  <c r="J193" i="1"/>
  <c r="K193" i="1"/>
  <c r="L193" i="1" s="1"/>
  <c r="AZ200" i="3"/>
  <c r="I201" i="3"/>
  <c r="H201" i="3" s="1"/>
  <c r="J164" i="6" l="1"/>
  <c r="K164" i="6"/>
  <c r="L164" i="6" s="1"/>
  <c r="I194" i="1"/>
  <c r="BC193" i="1"/>
  <c r="K201" i="3"/>
  <c r="L201" i="3" s="1"/>
  <c r="J201" i="3"/>
  <c r="N163" i="6" l="1"/>
  <c r="I165" i="6"/>
  <c r="H165" i="6" s="1"/>
  <c r="J194" i="1"/>
  <c r="K194" i="1"/>
  <c r="L194" i="1" s="1"/>
  <c r="AZ201" i="3"/>
  <c r="I202" i="3"/>
  <c r="H202" i="3" s="1"/>
  <c r="K165" i="6" l="1"/>
  <c r="L165" i="6" s="1"/>
  <c r="J165" i="6"/>
  <c r="I195" i="1"/>
  <c r="BC194" i="1"/>
  <c r="K202" i="3"/>
  <c r="L202" i="3" s="1"/>
  <c r="J202" i="3"/>
  <c r="I166" i="6" l="1"/>
  <c r="H166" i="6" s="1"/>
  <c r="N164" i="6"/>
  <c r="J195" i="1"/>
  <c r="K195" i="1"/>
  <c r="L195" i="1" s="1"/>
  <c r="I203" i="3"/>
  <c r="H203" i="3" s="1"/>
  <c r="AZ202" i="3"/>
  <c r="K166" i="6" l="1"/>
  <c r="L166" i="6" s="1"/>
  <c r="I196" i="1"/>
  <c r="BC195" i="1"/>
  <c r="K203" i="3"/>
  <c r="L203" i="3" s="1"/>
  <c r="J203" i="3"/>
  <c r="J166" i="6" l="1"/>
  <c r="J196" i="1"/>
  <c r="K196" i="1"/>
  <c r="L196" i="1" s="1"/>
  <c r="I204" i="3"/>
  <c r="H204" i="3" s="1"/>
  <c r="AZ203" i="3"/>
  <c r="I167" i="6" l="1"/>
  <c r="H167" i="6" s="1"/>
  <c r="N165" i="6"/>
  <c r="I197" i="1"/>
  <c r="BC196" i="1"/>
  <c r="K204" i="3"/>
  <c r="L204" i="3" s="1"/>
  <c r="J204" i="3"/>
  <c r="K167" i="6" l="1"/>
  <c r="L167" i="6" s="1"/>
  <c r="J197" i="1"/>
  <c r="K197" i="1"/>
  <c r="L197" i="1" s="1"/>
  <c r="I205" i="3"/>
  <c r="H205" i="3" s="1"/>
  <c r="AZ204" i="3"/>
  <c r="J167" i="6" l="1"/>
  <c r="I198" i="1"/>
  <c r="BC197" i="1"/>
  <c r="K205" i="3"/>
  <c r="L205" i="3" s="1"/>
  <c r="J205" i="3"/>
  <c r="I168" i="6" l="1"/>
  <c r="H168" i="6" s="1"/>
  <c r="N166" i="6"/>
  <c r="J198" i="1"/>
  <c r="K198" i="1"/>
  <c r="L198" i="1" s="1"/>
  <c r="AZ205" i="3"/>
  <c r="I206" i="3"/>
  <c r="K168" i="6" l="1"/>
  <c r="L168" i="6" s="1"/>
  <c r="I199" i="1"/>
  <c r="BC198" i="1"/>
  <c r="K206" i="3"/>
  <c r="L206" i="3" s="1"/>
  <c r="J206" i="3"/>
  <c r="J168" i="6" l="1"/>
  <c r="J199" i="1"/>
  <c r="K199" i="1"/>
  <c r="L199" i="1" s="1"/>
  <c r="I207" i="3"/>
  <c r="H207" i="3" s="1"/>
  <c r="AZ206" i="3"/>
  <c r="I169" i="6" l="1"/>
  <c r="H169" i="6" s="1"/>
  <c r="N167" i="6"/>
  <c r="I200" i="1"/>
  <c r="BC199" i="1"/>
  <c r="K207" i="3"/>
  <c r="L207" i="3" s="1"/>
  <c r="J207" i="3"/>
  <c r="K169" i="6" l="1"/>
  <c r="L169" i="6" s="1"/>
  <c r="J200" i="1"/>
  <c r="K200" i="1"/>
  <c r="L200" i="1" s="1"/>
  <c r="I208" i="3"/>
  <c r="H208" i="3" s="1"/>
  <c r="AZ207" i="3"/>
  <c r="J169" i="6" l="1"/>
  <c r="I170" i="6" s="1"/>
  <c r="I201" i="1"/>
  <c r="BC200" i="1"/>
  <c r="K208" i="3"/>
  <c r="L208" i="3" s="1"/>
  <c r="J208" i="3"/>
  <c r="N168" i="6" l="1"/>
  <c r="J170" i="6"/>
  <c r="K170" i="6"/>
  <c r="L170" i="6" s="1"/>
  <c r="J201" i="1"/>
  <c r="K201" i="1"/>
  <c r="L201" i="1" s="1"/>
  <c r="I209" i="3"/>
  <c r="H209" i="3" s="1"/>
  <c r="AZ208" i="3"/>
  <c r="I171" i="6" l="1"/>
  <c r="N169" i="6"/>
  <c r="I202" i="1"/>
  <c r="BC201" i="1"/>
  <c r="K209" i="3"/>
  <c r="L209" i="3" s="1"/>
  <c r="J209" i="3"/>
  <c r="J171" i="6" l="1"/>
  <c r="K171" i="6"/>
  <c r="L171" i="6" s="1"/>
  <c r="J202" i="1"/>
  <c r="K202" i="1"/>
  <c r="L202" i="1" s="1"/>
  <c r="AZ209" i="3"/>
  <c r="I210" i="3"/>
  <c r="H210" i="3" s="1"/>
  <c r="I172" i="6" l="1"/>
  <c r="H172" i="6" s="1"/>
  <c r="N170" i="6"/>
  <c r="M171" i="6"/>
  <c r="P12" i="6" s="1"/>
  <c r="I203" i="1"/>
  <c r="BC202" i="1"/>
  <c r="J210" i="3"/>
  <c r="K210" i="3"/>
  <c r="L210" i="3" s="1"/>
  <c r="K172" i="6" l="1"/>
  <c r="L172" i="6" s="1"/>
  <c r="J203" i="1"/>
  <c r="K203" i="1"/>
  <c r="L203" i="1" s="1"/>
  <c r="I211" i="3"/>
  <c r="H211" i="3" s="1"/>
  <c r="AZ210" i="3"/>
  <c r="J172" i="6" l="1"/>
  <c r="I204" i="1"/>
  <c r="BC203" i="1"/>
  <c r="K211" i="3"/>
  <c r="L211" i="3" s="1"/>
  <c r="J211" i="3"/>
  <c r="I173" i="6" l="1"/>
  <c r="H173" i="6" s="1"/>
  <c r="N171" i="6"/>
  <c r="J204" i="1"/>
  <c r="K204" i="1"/>
  <c r="L204" i="1" s="1"/>
  <c r="AZ211" i="3"/>
  <c r="I212" i="3"/>
  <c r="H212" i="3" s="1"/>
  <c r="H3" i="3" s="1"/>
  <c r="K173" i="6" l="1"/>
  <c r="L173" i="6" s="1"/>
  <c r="AK18" i="3" a="1"/>
  <c r="H2" i="3"/>
  <c r="I205" i="1"/>
  <c r="BC204" i="1"/>
  <c r="K212" i="3"/>
  <c r="L212" i="3" s="1"/>
  <c r="J212" i="3"/>
  <c r="J173" i="6" l="1"/>
  <c r="I174" i="6" s="1"/>
  <c r="H174" i="6" s="1"/>
  <c r="AK20" i="3"/>
  <c r="AK21" i="3"/>
  <c r="AK27" i="3"/>
  <c r="AK18" i="3"/>
  <c r="AK23" i="3"/>
  <c r="AK22" i="3"/>
  <c r="AK25" i="3"/>
  <c r="AK24" i="3"/>
  <c r="AK26" i="3"/>
  <c r="AK19" i="3"/>
  <c r="J205" i="1"/>
  <c r="K205" i="1"/>
  <c r="L205" i="1" s="1"/>
  <c r="I213" i="3"/>
  <c r="AZ212" i="3"/>
  <c r="N172" i="6" l="1"/>
  <c r="K174" i="6"/>
  <c r="L174" i="6" s="1"/>
  <c r="I206" i="1"/>
  <c r="BC205" i="1"/>
  <c r="K213" i="3"/>
  <c r="J213" i="3"/>
  <c r="J174" i="6" l="1"/>
  <c r="N173" i="6" s="1"/>
  <c r="J206" i="1"/>
  <c r="K206" i="1"/>
  <c r="AZ213" i="3"/>
  <c r="M213" i="3"/>
  <c r="J7" i="3"/>
  <c r="J4" i="3"/>
  <c r="J3" i="3"/>
  <c r="J5" i="3"/>
  <c r="AC18" i="3" a="1"/>
  <c r="AC18" i="3" s="1"/>
  <c r="J2" i="3"/>
  <c r="L213" i="3"/>
  <c r="K8" i="3"/>
  <c r="H4" i="3"/>
  <c r="H5" i="3"/>
  <c r="I175" i="6" l="1"/>
  <c r="H175" i="6" s="1"/>
  <c r="K175" i="6" s="1"/>
  <c r="L175" i="6" s="1"/>
  <c r="P8" i="3"/>
  <c r="P15" i="3"/>
  <c r="L206" i="1"/>
  <c r="K8" i="1"/>
  <c r="M206" i="1"/>
  <c r="S8" i="1" s="1"/>
  <c r="J7" i="1"/>
  <c r="BC206" i="1"/>
  <c r="J2" i="1"/>
  <c r="AF11" i="1" a="1"/>
  <c r="AF11" i="1" s="1"/>
  <c r="J4" i="1"/>
  <c r="J5" i="1"/>
  <c r="J3" i="1"/>
  <c r="L4" i="3"/>
  <c r="L7" i="3"/>
  <c r="AO18" i="3" a="1"/>
  <c r="L2" i="3"/>
  <c r="L3" i="3"/>
  <c r="L5" i="3"/>
  <c r="J6" i="3"/>
  <c r="J175" i="6" l="1"/>
  <c r="J6" i="1"/>
  <c r="L3" i="1"/>
  <c r="L2" i="1"/>
  <c r="L7" i="1"/>
  <c r="L4" i="1"/>
  <c r="AR11" i="1" a="1"/>
  <c r="L5" i="1"/>
  <c r="AO24" i="3"/>
  <c r="AO23" i="3"/>
  <c r="AO22" i="3"/>
  <c r="AO21" i="3"/>
  <c r="AO20" i="3"/>
  <c r="AO19" i="3"/>
  <c r="AO18" i="3"/>
  <c r="AO25" i="3"/>
  <c r="L6" i="3"/>
  <c r="N174" i="6" l="1"/>
  <c r="I176" i="6"/>
  <c r="H176" i="6" s="1"/>
  <c r="L6" i="1"/>
  <c r="AR18" i="1"/>
  <c r="AR13" i="1"/>
  <c r="AR16" i="1"/>
  <c r="AR17" i="1"/>
  <c r="AR11" i="1"/>
  <c r="AR12" i="1"/>
  <c r="AR14" i="1"/>
  <c r="AR15" i="1"/>
  <c r="K176" i="6" l="1"/>
  <c r="L176" i="6" s="1"/>
  <c r="J176" i="6" l="1"/>
  <c r="N175" i="6" l="1"/>
  <c r="I177" i="6"/>
  <c r="J177" i="6" l="1"/>
  <c r="K177" i="6"/>
  <c r="L177" i="6" s="1"/>
  <c r="N176" i="6" l="1"/>
  <c r="I178" i="6"/>
  <c r="J178" i="6" l="1"/>
  <c r="K178" i="6"/>
  <c r="L178" i="6" s="1"/>
  <c r="N177" i="6" l="1"/>
  <c r="I179" i="6"/>
  <c r="H179" i="6" s="1"/>
  <c r="K179" i="6" l="1"/>
  <c r="L179" i="6" s="1"/>
  <c r="J179" i="6" l="1"/>
  <c r="N178" i="6" s="1"/>
  <c r="I180" i="6" l="1"/>
  <c r="H180" i="6" s="1"/>
  <c r="K180" i="6" s="1"/>
  <c r="L180" i="6" s="1"/>
  <c r="J180" i="6" l="1"/>
  <c r="N179" i="6" l="1"/>
  <c r="I181" i="6"/>
  <c r="H181" i="6" s="1"/>
  <c r="K181" i="6" l="1"/>
  <c r="L181" i="6" s="1"/>
  <c r="J181" i="6" l="1"/>
  <c r="N180" i="6" l="1"/>
  <c r="I182" i="6"/>
  <c r="H182" i="6" s="1"/>
  <c r="K182" i="6" l="1"/>
  <c r="L182" i="6" s="1"/>
  <c r="J182" i="6" l="1"/>
  <c r="N181" i="6" l="1"/>
  <c r="I183" i="6"/>
  <c r="H183" i="6" s="1"/>
  <c r="K183" i="6" l="1"/>
  <c r="L183" i="6" s="1"/>
  <c r="J183" i="6" l="1"/>
  <c r="N182" i="6" l="1"/>
  <c r="I184" i="6"/>
  <c r="J184" i="6" l="1"/>
  <c r="K184" i="6"/>
  <c r="L184" i="6" s="1"/>
  <c r="I185" i="6" l="1"/>
  <c r="N183" i="6"/>
  <c r="J185" i="6" l="1"/>
  <c r="K185" i="6"/>
  <c r="L185" i="6" s="1"/>
  <c r="I186" i="6" l="1"/>
  <c r="H186" i="6" s="1"/>
  <c r="M185" i="6"/>
  <c r="P13" i="6" s="1"/>
  <c r="N184" i="6"/>
  <c r="K186" i="6" l="1"/>
  <c r="L186" i="6" s="1"/>
  <c r="J186" i="6" l="1"/>
  <c r="I187" i="6" s="1"/>
  <c r="H187" i="6" s="1"/>
  <c r="N185" i="6" l="1"/>
  <c r="K187" i="6"/>
  <c r="L187" i="6" s="1"/>
  <c r="J187" i="6" l="1"/>
  <c r="I188" i="6" l="1"/>
  <c r="H188" i="6" s="1"/>
  <c r="N186" i="6"/>
  <c r="K188" i="6" l="1"/>
  <c r="L188" i="6" s="1"/>
  <c r="J188" i="6" l="1"/>
  <c r="I189" i="6" l="1"/>
  <c r="H189" i="6" s="1"/>
  <c r="N187" i="6"/>
  <c r="K189" i="6" l="1"/>
  <c r="L189" i="6" s="1"/>
  <c r="J189" i="6" l="1"/>
  <c r="I190" i="6" s="1"/>
  <c r="H190" i="6" s="1"/>
  <c r="N188" i="6" l="1"/>
  <c r="K190" i="6"/>
  <c r="L190" i="6" s="1"/>
  <c r="J190" i="6" l="1"/>
  <c r="N189" i="6" l="1"/>
  <c r="I191" i="6"/>
  <c r="J191" i="6" l="1"/>
  <c r="K191" i="6"/>
  <c r="L191" i="6" s="1"/>
  <c r="N190" i="6" l="1"/>
  <c r="I192" i="6"/>
  <c r="J192" i="6" l="1"/>
  <c r="K192" i="6"/>
  <c r="L192" i="6" s="1"/>
  <c r="N191" i="6" l="1"/>
  <c r="I193" i="6"/>
  <c r="H193" i="6" s="1"/>
  <c r="K193" i="6" l="1"/>
  <c r="L193" i="6" s="1"/>
  <c r="J193" i="6" l="1"/>
  <c r="N192" i="6" s="1"/>
  <c r="I194" i="6" l="1"/>
  <c r="H194" i="6" s="1"/>
  <c r="K194" i="6" s="1"/>
  <c r="L194" i="6" s="1"/>
  <c r="J194" i="6" l="1"/>
  <c r="N193" i="6" s="1"/>
  <c r="I195" i="6" l="1"/>
  <c r="H195" i="6" s="1"/>
  <c r="K195" i="6" s="1"/>
  <c r="L195" i="6" s="1"/>
  <c r="J195" i="6" l="1"/>
  <c r="N194" i="6" l="1"/>
  <c r="I196" i="6"/>
  <c r="H196" i="6" s="1"/>
  <c r="K196" i="6" l="1"/>
  <c r="L196" i="6" s="1"/>
  <c r="J196" i="6" l="1"/>
  <c r="N195" i="6" l="1"/>
  <c r="I197" i="6"/>
  <c r="H197" i="6" s="1"/>
  <c r="K197" i="6" l="1"/>
  <c r="L197" i="6" s="1"/>
  <c r="J197" i="6" l="1"/>
  <c r="I198" i="6" l="1"/>
  <c r="N196" i="6"/>
  <c r="J198" i="6" l="1"/>
  <c r="K198" i="6"/>
  <c r="L198" i="6" s="1"/>
  <c r="I199" i="6" l="1"/>
  <c r="N197" i="6"/>
  <c r="J199" i="6" l="1"/>
  <c r="K199" i="6"/>
  <c r="L199" i="6" s="1"/>
  <c r="M199" i="6" l="1"/>
  <c r="P14" i="6" s="1"/>
  <c r="I200" i="6"/>
  <c r="H200" i="6" s="1"/>
  <c r="N198" i="6"/>
  <c r="K200" i="6" l="1"/>
  <c r="L200" i="6" s="1"/>
  <c r="J200" i="6" l="1"/>
  <c r="I201" i="6" l="1"/>
  <c r="H201" i="6" s="1"/>
  <c r="N199" i="6"/>
  <c r="K201" i="6" l="1"/>
  <c r="L201" i="6" s="1"/>
  <c r="J201" i="6" l="1"/>
  <c r="I202" i="6" s="1"/>
  <c r="H202" i="6" s="1"/>
  <c r="N200" i="6" l="1"/>
  <c r="K202" i="6"/>
  <c r="L202" i="6" s="1"/>
  <c r="J202" i="6" l="1"/>
  <c r="I203" i="6" l="1"/>
  <c r="H203" i="6" s="1"/>
  <c r="N201" i="6"/>
  <c r="K203" i="6" l="1"/>
  <c r="L203" i="6" s="1"/>
  <c r="J203" i="6" l="1"/>
  <c r="I204" i="6" l="1"/>
  <c r="H204" i="6" s="1"/>
  <c r="N202" i="6"/>
  <c r="K204" i="6" l="1"/>
  <c r="L204" i="6" s="1"/>
  <c r="J204" i="6" l="1"/>
  <c r="I205" i="6" l="1"/>
  <c r="H205" i="6" s="1"/>
  <c r="N203" i="6"/>
  <c r="K205" i="6" l="1"/>
  <c r="L205" i="6" s="1"/>
  <c r="J205" i="6" l="1"/>
  <c r="I206" i="6" l="1"/>
  <c r="N204" i="6"/>
  <c r="J206" i="6" l="1"/>
  <c r="K206" i="6"/>
  <c r="L206" i="6" s="1"/>
  <c r="I207" i="6" l="1"/>
  <c r="H207" i="6" s="1"/>
  <c r="N205" i="6"/>
  <c r="K207" i="6" l="1"/>
  <c r="L207" i="6" s="1"/>
  <c r="J207" i="6" l="1"/>
  <c r="N206" i="6" l="1"/>
  <c r="I208" i="6"/>
  <c r="H208" i="6" s="1"/>
  <c r="K208" i="6" l="1"/>
  <c r="L208" i="6" s="1"/>
  <c r="J208" i="6"/>
  <c r="N207" i="6" l="1"/>
  <c r="I209" i="6"/>
  <c r="H209" i="6" s="1"/>
  <c r="K209" i="6" l="1"/>
  <c r="L209" i="6" s="1"/>
  <c r="J209" i="6" l="1"/>
  <c r="N208" i="6" l="1"/>
  <c r="I210" i="6"/>
  <c r="H210" i="6" s="1"/>
  <c r="K210" i="6" l="1"/>
  <c r="L210" i="6" s="1"/>
  <c r="J210" i="6" l="1"/>
  <c r="N209" i="6" l="1"/>
  <c r="I211" i="6"/>
  <c r="H211" i="6" s="1"/>
  <c r="K211" i="6" l="1"/>
  <c r="L211" i="6" s="1"/>
  <c r="J211" i="6" l="1"/>
  <c r="N210" i="6" l="1"/>
  <c r="I212" i="6"/>
  <c r="H212" i="6" s="1"/>
  <c r="J212" i="6" l="1"/>
  <c r="N211" i="6" l="1"/>
  <c r="I213" i="6"/>
  <c r="K212" i="6"/>
  <c r="L212" i="6" s="1"/>
  <c r="H2" i="6"/>
  <c r="H3" i="6"/>
  <c r="J213" i="6" l="1"/>
  <c r="K213" i="6"/>
  <c r="J7" i="6" l="1"/>
  <c r="N213" i="6"/>
  <c r="N212" i="6"/>
  <c r="U4" i="6" s="1" a="1"/>
  <c r="U4" i="6" s="1"/>
  <c r="M213" i="6"/>
  <c r="P15" i="6" s="1"/>
  <c r="J2" i="6"/>
  <c r="J3" i="6"/>
  <c r="J4" i="6"/>
  <c r="J5" i="6"/>
  <c r="L213" i="6"/>
  <c r="J8" i="6"/>
  <c r="H4" i="6"/>
  <c r="U3" i="6"/>
  <c r="H5" i="6"/>
  <c r="J6" i="6" l="1"/>
  <c r="L3" i="6"/>
  <c r="L5" i="6"/>
  <c r="L4" i="6"/>
  <c r="L7" i="6"/>
  <c r="L2" i="6"/>
  <c r="L6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<sst xmlns="http://schemas.openxmlformats.org/spreadsheetml/2006/main" count="230" uniqueCount="106">
  <si>
    <t>Tellend Logging</t>
  </si>
  <si>
    <t>Data for 2022 season</t>
  </si>
  <si>
    <t>block num.</t>
  </si>
  <si>
    <r>
      <t>day num. (</t>
    </r>
    <r>
      <rPr>
        <i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)</t>
    </r>
  </si>
  <si>
    <t>day of the week</t>
  </si>
  <si>
    <t>Logging active?</t>
  </si>
  <si>
    <t>sawmill active?</t>
  </si>
  <si>
    <t>Final log pond size: 364</t>
  </si>
  <si>
    <r>
      <t>Part A</t>
    </r>
    <r>
      <rPr>
        <b/>
        <sz val="10"/>
        <color theme="1"/>
        <rFont val="Arial"/>
        <family val="2"/>
      </rPr>
      <t xml:space="preserve"> </t>
    </r>
    <r>
      <rPr>
        <b/>
        <u/>
        <sz val="10"/>
        <color theme="1"/>
        <rFont val="Arial"/>
        <family val="2"/>
      </rPr>
      <t>- 2022 Analysis</t>
    </r>
  </si>
  <si>
    <t>Questions:</t>
  </si>
  <si>
    <t>Answer:</t>
  </si>
  <si>
    <t>Place your Q5 chart in the space below.</t>
  </si>
  <si>
    <t>the maximum log pond size</t>
  </si>
  <si>
    <t>the day of the season on which it occurred (a value between 1 and 196)</t>
  </si>
  <si>
    <t>the block in which it occurred (a value between 1 and 7)</t>
  </si>
  <si>
    <t>the day of the week on which it occurred (Monday, Tuesday etc.)</t>
  </si>
  <si>
    <t>a chart to show how the log pond size changed throughout the season</t>
  </si>
  <si>
    <t>see section &gt;&gt;&gt;&gt;</t>
  </si>
  <si>
    <t>place your chart here</t>
  </si>
  <si>
    <t>the number of shortfall days, where the sawmill was under-utilised</t>
  </si>
  <si>
    <t>the average number of logs cut per day at the sawmill (1 d.p.)</t>
  </si>
  <si>
    <t>the average number of logs cut on non-shortfall days (1 d.p.)</t>
  </si>
  <si>
    <t>the final log pond size at the end of the season</t>
  </si>
  <si>
    <t>the average number of logs felled by the loggers (1 d.p.)</t>
  </si>
  <si>
    <t>Part B - 2023 Modelling</t>
  </si>
  <si>
    <t>Schedule for the 14 blocks</t>
  </si>
  <si>
    <t>block</t>
  </si>
  <si>
    <t>days</t>
  </si>
  <si>
    <t xml:space="preserve">the total number of shortfall days </t>
  </si>
  <si>
    <t>which block has the highest ave. daily logs?</t>
  </si>
  <si>
    <t>highest logs produced on a single day?</t>
  </si>
  <si>
    <t>Values for the variables:</t>
  </si>
  <si>
    <t>A</t>
  </si>
  <si>
    <t>in which block did this day occur?</t>
  </si>
  <si>
    <t>B</t>
  </si>
  <si>
    <t>the highest number of logs cut on a shortfall day</t>
  </si>
  <si>
    <t>C</t>
  </si>
  <si>
    <t>D</t>
  </si>
  <si>
    <t>longest consecutive sequence of shortfall days</t>
  </si>
  <si>
    <t>E</t>
  </si>
  <si>
    <t>longest consecutive sequence of pond increases</t>
  </si>
  <si>
    <t>F</t>
  </si>
  <si>
    <t>S</t>
  </si>
  <si>
    <t>Part C</t>
  </si>
  <si>
    <t>Place a link here to the stochastic cutting section in the following space.</t>
  </si>
  <si>
    <t>No. of logs added to log pond: At</t>
  </si>
  <si>
    <r>
      <t xml:space="preserve">No. of logs cut in sawmill:   </t>
    </r>
    <r>
      <rPr>
        <sz val="12"/>
        <color theme="1"/>
        <rFont val="Calibri"/>
        <family val="2"/>
        <scheme val="minor"/>
      </rPr>
      <t>C</t>
    </r>
    <r>
      <rPr>
        <i/>
        <vertAlign val="subscript"/>
        <sz val="12"/>
        <color theme="1"/>
        <rFont val="Calibri"/>
        <family val="2"/>
        <scheme val="minor"/>
      </rPr>
      <t>t</t>
    </r>
  </si>
  <si>
    <r>
      <t>LPS_start</t>
    </r>
    <r>
      <rPr>
        <vertAlign val="subscript"/>
        <sz val="11"/>
        <color theme="1"/>
        <rFont val="Calibri"/>
        <family val="2"/>
        <scheme val="minor"/>
      </rPr>
      <t>t</t>
    </r>
  </si>
  <si>
    <r>
      <t>LPS_end</t>
    </r>
    <r>
      <rPr>
        <vertAlign val="subscript"/>
        <sz val="11"/>
        <color theme="1"/>
        <rFont val="Calibri"/>
        <family val="2"/>
        <scheme val="minor"/>
      </rPr>
      <t>t</t>
    </r>
  </si>
  <si>
    <t>shortfall?</t>
  </si>
  <si>
    <t>Increases by block</t>
  </si>
  <si>
    <r>
      <t>C</t>
    </r>
    <r>
      <rPr>
        <vertAlign val="subscript"/>
        <sz val="11"/>
        <color theme="1"/>
        <rFont val="Calibri"/>
        <family val="2"/>
        <scheme val="minor"/>
      </rPr>
      <t>t</t>
    </r>
  </si>
  <si>
    <t>average (inc. zeros):</t>
  </si>
  <si>
    <t>average:</t>
  </si>
  <si>
    <t>average (no zeros):</t>
  </si>
  <si>
    <t>minimum:</t>
  </si>
  <si>
    <t>average (shortfall days):</t>
  </si>
  <si>
    <t>maximum:</t>
  </si>
  <si>
    <t>average (non-shortfall days):</t>
  </si>
  <si>
    <t>std. dev.:</t>
  </si>
  <si>
    <t>range:</t>
  </si>
  <si>
    <t>final size:</t>
  </si>
  <si>
    <t>count:</t>
  </si>
  <si>
    <t>shortfalls:</t>
  </si>
  <si>
    <t>LPS_end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</si>
  <si>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</si>
  <si>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C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non-shortfall days</t>
    </r>
  </si>
  <si>
    <t>custom labels</t>
  </si>
  <si>
    <t>bins</t>
  </si>
  <si>
    <t>frequency</t>
  </si>
  <si>
    <t>more</t>
  </si>
  <si>
    <t>Friday</t>
  </si>
  <si>
    <t>block:</t>
  </si>
  <si>
    <t>days:</t>
  </si>
  <si>
    <t>average logs added to pond (logging active):</t>
  </si>
  <si>
    <t>Logs Cut</t>
  </si>
  <si>
    <t>Blocks 1 to 5:</t>
  </si>
  <si>
    <t>Blocks 6 to 10:</t>
  </si>
  <si>
    <t>Block 11 to 14:</t>
  </si>
  <si>
    <t>Expected Targets:</t>
  </si>
  <si>
    <t>No.of logs:</t>
  </si>
  <si>
    <t>No.of shortfall:</t>
  </si>
  <si>
    <t>Final log pond:</t>
  </si>
  <si>
    <t>LPS_endt</t>
  </si>
  <si>
    <t>original schedule</t>
  </si>
  <si>
    <t>Average of logs daily</t>
  </si>
  <si>
    <t>Max:</t>
  </si>
  <si>
    <t>Max of At:</t>
  </si>
  <si>
    <t>Max logs on shortfall:</t>
  </si>
  <si>
    <t>Max Consecutive seq of pond increase</t>
  </si>
  <si>
    <t>min:</t>
  </si>
  <si>
    <t>max:</t>
  </si>
  <si>
    <t>std dev:</t>
  </si>
  <si>
    <t>results for stochastic schedule</t>
  </si>
  <si>
    <t>rep</t>
  </si>
  <si>
    <t>avg</t>
  </si>
  <si>
    <t>min</t>
  </si>
  <si>
    <t>max</t>
  </si>
  <si>
    <t>std.dev</t>
  </si>
  <si>
    <t>range</t>
  </si>
  <si>
    <t>final log pond size</t>
  </si>
  <si>
    <t>no.of shortfalls</t>
  </si>
  <si>
    <t>lower:</t>
  </si>
  <si>
    <t>upper:</t>
  </si>
  <si>
    <t>Stochastic Cutting</t>
  </si>
  <si>
    <t>LPS_end diff.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</si>
</sst>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i/>
      <sz val="10"/>
      <color theme="1"/>
      <name val="Arial"/>
      <family val="2"/>
    </font>
    <font>
      <i/>
      <sz val="10"/>
      <color theme="0" tint="-0.499984740745262"/>
      <name val="Arial"/>
      <family val="2"/>
    </font>
    <font>
      <sz val="10"/>
      <color theme="1"/>
      <name val="Symbol"/>
      <family val="1"/>
      <charset val="2"/>
    </font>
    <font>
      <sz val="12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8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3" fillId="3" borderId="0" xfId="0" applyFont="1" applyFill="1"/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right"/>
    </xf>
    <xf numFmtId="0" fontId="3" fillId="0" borderId="0" xfId="0" applyFont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7" fillId="3" borderId="0" xfId="0" applyFont="1" applyFill="1"/>
    <xf numFmtId="0" fontId="4" fillId="3" borderId="0" xfId="0" applyFont="1" applyFill="1" applyAlignment="1">
      <alignment horizontal="center"/>
    </xf>
    <xf numFmtId="0" fontId="5" fillId="3" borderId="0" xfId="0" applyFont="1" applyFill="1"/>
    <xf numFmtId="0" fontId="3" fillId="0" borderId="2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1" xfId="0" applyFont="1" applyBorder="1"/>
    <xf numFmtId="0" fontId="5" fillId="3" borderId="0" xfId="0" applyFont="1" applyFill="1" applyAlignment="1">
      <alignment horizontal="left"/>
    </xf>
    <xf numFmtId="0" fontId="8" fillId="0" borderId="0" xfId="0" applyFont="1"/>
    <xf numFmtId="0" fontId="3" fillId="3" borderId="0" xfId="0" applyFont="1" applyFill="1" applyAlignment="1">
      <alignment horizontal="right"/>
    </xf>
    <xf numFmtId="0" fontId="3" fillId="0" borderId="9" xfId="0" applyFont="1" applyBorder="1"/>
    <xf numFmtId="0" fontId="3" fillId="0" borderId="1" xfId="0" applyFont="1" applyBorder="1"/>
    <xf numFmtId="0" fontId="3" fillId="0" borderId="10" xfId="0" applyFont="1" applyBorder="1"/>
    <xf numFmtId="0" fontId="4" fillId="3" borderId="0" xfId="0" applyFont="1" applyFill="1" applyAlignment="1">
      <alignment horizontal="right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0" fontId="5" fillId="3" borderId="12" xfId="0" applyFont="1" applyFill="1" applyBorder="1"/>
    <xf numFmtId="0" fontId="0" fillId="2" borderId="0" xfId="0" applyFill="1" applyAlignment="1">
      <alignment wrapText="1"/>
    </xf>
    <xf numFmtId="0" fontId="0" fillId="2" borderId="0" xfId="0" applyFill="1" applyAlignment="1">
      <alignment horizontal="left" wrapText="1"/>
    </xf>
    <xf numFmtId="0" fontId="0" fillId="4" borderId="6" xfId="0" applyFill="1" applyBorder="1"/>
    <xf numFmtId="0" fontId="0" fillId="4" borderId="11" xfId="0" applyFill="1" applyBorder="1"/>
    <xf numFmtId="2" fontId="0" fillId="0" borderId="2" xfId="0" applyNumberFormat="1" applyBorder="1"/>
    <xf numFmtId="2" fontId="0" fillId="0" borderId="6" xfId="0" applyNumberFormat="1" applyBorder="1"/>
    <xf numFmtId="2" fontId="0" fillId="0" borderId="11" xfId="0" applyNumberFormat="1" applyBorder="1"/>
    <xf numFmtId="0" fontId="0" fillId="0" borderId="6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/>
    <xf numFmtId="0" fontId="13" fillId="2" borderId="0" xfId="0" applyFont="1" applyFill="1" applyAlignment="1">
      <alignment horizontal="center" wrapText="1"/>
    </xf>
    <xf numFmtId="0" fontId="13" fillId="0" borderId="0" xfId="0" applyFont="1" applyAlignment="1">
      <alignment horizontal="center"/>
    </xf>
    <xf numFmtId="0" fontId="14" fillId="0" borderId="0" xfId="0" applyFont="1"/>
    <xf numFmtId="0" fontId="0" fillId="0" borderId="9" xfId="0" applyBorder="1" applyAlignment="1">
      <alignment horizontal="right" vertical="center"/>
    </xf>
    <xf numFmtId="0" fontId="0" fillId="5" borderId="2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15" fillId="2" borderId="0" xfId="0" applyFont="1" applyFill="1" applyAlignment="1">
      <alignment horizontal="right"/>
    </xf>
    <xf numFmtId="164" fontId="3" fillId="0" borderId="6" xfId="0" applyNumberFormat="1" applyFont="1" applyBorder="1"/>
    <xf numFmtId="0" fontId="0" fillId="5" borderId="6" xfId="0" applyFill="1" applyBorder="1"/>
    <xf numFmtId="0" fontId="0" fillId="5" borderId="11" xfId="0" applyFill="1" applyBorder="1" applyAlignment="1">
      <alignment horizontal="right"/>
    </xf>
    <xf numFmtId="0" fontId="0" fillId="5" borderId="12" xfId="0" applyFill="1" applyBorder="1"/>
    <xf numFmtId="164" fontId="0" fillId="0" borderId="6" xfId="0" applyNumberFormat="1" applyBorder="1"/>
    <xf numFmtId="164" fontId="0" fillId="0" borderId="11" xfId="0" applyNumberFormat="1" applyBorder="1"/>
    <xf numFmtId="164" fontId="0" fillId="0" borderId="2" xfId="0" applyNumberFormat="1" applyBorder="1"/>
    <xf numFmtId="0" fontId="0" fillId="4" borderId="12" xfId="0" applyFill="1" applyBorder="1" applyAlignment="1">
      <alignment horizontal="center"/>
    </xf>
    <xf numFmtId="0" fontId="0" fillId="4" borderId="12" xfId="0" applyFill="1" applyBorder="1"/>
    <xf numFmtId="0" fontId="18" fillId="0" borderId="0" xfId="1" applyFill="1"/>
    <xf numFmtId="0" fontId="0" fillId="6" borderId="6" xfId="0" applyFill="1" applyBorder="1"/>
    <xf numFmtId="0" fontId="0" fillId="6" borderId="11" xfId="0" applyFill="1" applyBorder="1" applyAlignment="1">
      <alignment horizontal="right"/>
    </xf>
    <xf numFmtId="0" fontId="0" fillId="6" borderId="12" xfId="0" applyFill="1" applyBorder="1"/>
    <xf numFmtId="0" fontId="8" fillId="3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1">
    <dxf>
      <font>
        <color theme="0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</a:t>
            </a:r>
            <a:r>
              <a:rPr lang="en-GB" baseline="0"/>
              <a:t> Pond Size (end) during the 196 day season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'Stochastic Cutting'!$J$18:$J$213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177</c:v>
                </c:pt>
                <c:pt idx="3">
                  <c:v>215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258</c:v>
                </c:pt>
                <c:pt idx="8">
                  <c:v>204</c:v>
                </c:pt>
                <c:pt idx="9">
                  <c:v>247</c:v>
                </c:pt>
                <c:pt idx="10">
                  <c:v>348</c:v>
                </c:pt>
                <c:pt idx="11">
                  <c:v>422</c:v>
                </c:pt>
                <c:pt idx="12">
                  <c:v>422</c:v>
                </c:pt>
                <c:pt idx="13">
                  <c:v>422</c:v>
                </c:pt>
                <c:pt idx="14">
                  <c:v>355</c:v>
                </c:pt>
                <c:pt idx="15">
                  <c:v>308</c:v>
                </c:pt>
                <c:pt idx="16">
                  <c:v>269</c:v>
                </c:pt>
                <c:pt idx="17">
                  <c:v>187</c:v>
                </c:pt>
                <c:pt idx="18">
                  <c:v>294</c:v>
                </c:pt>
                <c:pt idx="19">
                  <c:v>294</c:v>
                </c:pt>
                <c:pt idx="20">
                  <c:v>294</c:v>
                </c:pt>
                <c:pt idx="21">
                  <c:v>249</c:v>
                </c:pt>
                <c:pt idx="22">
                  <c:v>206</c:v>
                </c:pt>
                <c:pt idx="23">
                  <c:v>134</c:v>
                </c:pt>
                <c:pt idx="24">
                  <c:v>110</c:v>
                </c:pt>
                <c:pt idx="25">
                  <c:v>216</c:v>
                </c:pt>
                <c:pt idx="26">
                  <c:v>216</c:v>
                </c:pt>
                <c:pt idx="27">
                  <c:v>216</c:v>
                </c:pt>
                <c:pt idx="28">
                  <c:v>164</c:v>
                </c:pt>
                <c:pt idx="29">
                  <c:v>154</c:v>
                </c:pt>
                <c:pt idx="30">
                  <c:v>53</c:v>
                </c:pt>
                <c:pt idx="31">
                  <c:v>152</c:v>
                </c:pt>
                <c:pt idx="32">
                  <c:v>193</c:v>
                </c:pt>
                <c:pt idx="33">
                  <c:v>193</c:v>
                </c:pt>
                <c:pt idx="34">
                  <c:v>193</c:v>
                </c:pt>
                <c:pt idx="35">
                  <c:v>193</c:v>
                </c:pt>
                <c:pt idx="36">
                  <c:v>150</c:v>
                </c:pt>
                <c:pt idx="37">
                  <c:v>119</c:v>
                </c:pt>
                <c:pt idx="38">
                  <c:v>120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224</c:v>
                </c:pt>
                <c:pt idx="43">
                  <c:v>249</c:v>
                </c:pt>
                <c:pt idx="44">
                  <c:v>238</c:v>
                </c:pt>
                <c:pt idx="45">
                  <c:v>199</c:v>
                </c:pt>
                <c:pt idx="46">
                  <c:v>189</c:v>
                </c:pt>
                <c:pt idx="47">
                  <c:v>189</c:v>
                </c:pt>
                <c:pt idx="48">
                  <c:v>189</c:v>
                </c:pt>
                <c:pt idx="49">
                  <c:v>179</c:v>
                </c:pt>
                <c:pt idx="50">
                  <c:v>164</c:v>
                </c:pt>
                <c:pt idx="51">
                  <c:v>142</c:v>
                </c:pt>
                <c:pt idx="52">
                  <c:v>156</c:v>
                </c:pt>
                <c:pt idx="53">
                  <c:v>137</c:v>
                </c:pt>
                <c:pt idx="54">
                  <c:v>137</c:v>
                </c:pt>
                <c:pt idx="55">
                  <c:v>137</c:v>
                </c:pt>
                <c:pt idx="56">
                  <c:v>147</c:v>
                </c:pt>
                <c:pt idx="57">
                  <c:v>152</c:v>
                </c:pt>
                <c:pt idx="58">
                  <c:v>169</c:v>
                </c:pt>
                <c:pt idx="59">
                  <c:v>179</c:v>
                </c:pt>
                <c:pt idx="60">
                  <c:v>192</c:v>
                </c:pt>
                <c:pt idx="61">
                  <c:v>57</c:v>
                </c:pt>
                <c:pt idx="62">
                  <c:v>57</c:v>
                </c:pt>
                <c:pt idx="63">
                  <c:v>159</c:v>
                </c:pt>
                <c:pt idx="64">
                  <c:v>156</c:v>
                </c:pt>
                <c:pt idx="65">
                  <c:v>189</c:v>
                </c:pt>
                <c:pt idx="66">
                  <c:v>223</c:v>
                </c:pt>
                <c:pt idx="67">
                  <c:v>215</c:v>
                </c:pt>
                <c:pt idx="68">
                  <c:v>89</c:v>
                </c:pt>
                <c:pt idx="69">
                  <c:v>89</c:v>
                </c:pt>
                <c:pt idx="70">
                  <c:v>144</c:v>
                </c:pt>
                <c:pt idx="71">
                  <c:v>142</c:v>
                </c:pt>
                <c:pt idx="72">
                  <c:v>157</c:v>
                </c:pt>
                <c:pt idx="73">
                  <c:v>140</c:v>
                </c:pt>
                <c:pt idx="74">
                  <c:v>161</c:v>
                </c:pt>
                <c:pt idx="75">
                  <c:v>161</c:v>
                </c:pt>
                <c:pt idx="76">
                  <c:v>161</c:v>
                </c:pt>
                <c:pt idx="77">
                  <c:v>110</c:v>
                </c:pt>
                <c:pt idx="78">
                  <c:v>193</c:v>
                </c:pt>
                <c:pt idx="79">
                  <c:v>204</c:v>
                </c:pt>
                <c:pt idx="80">
                  <c:v>225</c:v>
                </c:pt>
                <c:pt idx="81">
                  <c:v>223</c:v>
                </c:pt>
                <c:pt idx="82">
                  <c:v>223</c:v>
                </c:pt>
                <c:pt idx="83">
                  <c:v>223</c:v>
                </c:pt>
                <c:pt idx="84">
                  <c:v>228</c:v>
                </c:pt>
                <c:pt idx="85">
                  <c:v>233</c:v>
                </c:pt>
                <c:pt idx="86">
                  <c:v>227</c:v>
                </c:pt>
                <c:pt idx="87">
                  <c:v>228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245</c:v>
                </c:pt>
                <c:pt idx="92">
                  <c:v>165</c:v>
                </c:pt>
                <c:pt idx="93">
                  <c:v>240</c:v>
                </c:pt>
                <c:pt idx="94">
                  <c:v>261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302</c:v>
                </c:pt>
                <c:pt idx="99">
                  <c:v>316</c:v>
                </c:pt>
                <c:pt idx="100">
                  <c:v>348</c:v>
                </c:pt>
                <c:pt idx="101">
                  <c:v>385</c:v>
                </c:pt>
                <c:pt idx="102">
                  <c:v>406</c:v>
                </c:pt>
                <c:pt idx="103">
                  <c:v>270</c:v>
                </c:pt>
                <c:pt idx="104">
                  <c:v>270</c:v>
                </c:pt>
                <c:pt idx="105">
                  <c:v>295</c:v>
                </c:pt>
                <c:pt idx="106">
                  <c:v>336</c:v>
                </c:pt>
                <c:pt idx="107">
                  <c:v>346</c:v>
                </c:pt>
                <c:pt idx="108">
                  <c:v>378</c:v>
                </c:pt>
                <c:pt idx="109">
                  <c:v>409</c:v>
                </c:pt>
                <c:pt idx="110">
                  <c:v>285</c:v>
                </c:pt>
                <c:pt idx="111">
                  <c:v>285</c:v>
                </c:pt>
                <c:pt idx="112">
                  <c:v>340</c:v>
                </c:pt>
                <c:pt idx="113">
                  <c:v>381</c:v>
                </c:pt>
                <c:pt idx="114">
                  <c:v>417</c:v>
                </c:pt>
                <c:pt idx="115">
                  <c:v>421</c:v>
                </c:pt>
                <c:pt idx="116">
                  <c:v>459</c:v>
                </c:pt>
                <c:pt idx="117">
                  <c:v>459</c:v>
                </c:pt>
                <c:pt idx="118">
                  <c:v>459</c:v>
                </c:pt>
                <c:pt idx="119">
                  <c:v>489</c:v>
                </c:pt>
                <c:pt idx="120">
                  <c:v>521</c:v>
                </c:pt>
                <c:pt idx="121">
                  <c:v>567</c:v>
                </c:pt>
                <c:pt idx="122">
                  <c:v>582</c:v>
                </c:pt>
                <c:pt idx="123">
                  <c:v>589</c:v>
                </c:pt>
                <c:pt idx="124">
                  <c:v>589</c:v>
                </c:pt>
                <c:pt idx="125">
                  <c:v>589</c:v>
                </c:pt>
                <c:pt idx="126">
                  <c:v>614</c:v>
                </c:pt>
                <c:pt idx="127">
                  <c:v>673</c:v>
                </c:pt>
                <c:pt idx="128">
                  <c:v>739</c:v>
                </c:pt>
                <c:pt idx="129">
                  <c:v>766</c:v>
                </c:pt>
                <c:pt idx="130">
                  <c:v>833</c:v>
                </c:pt>
                <c:pt idx="131">
                  <c:v>683</c:v>
                </c:pt>
                <c:pt idx="132">
                  <c:v>683</c:v>
                </c:pt>
                <c:pt idx="133">
                  <c:v>744</c:v>
                </c:pt>
                <c:pt idx="134">
                  <c:v>797</c:v>
                </c:pt>
                <c:pt idx="135">
                  <c:v>839</c:v>
                </c:pt>
                <c:pt idx="136">
                  <c:v>889</c:v>
                </c:pt>
                <c:pt idx="137">
                  <c:v>909</c:v>
                </c:pt>
                <c:pt idx="138">
                  <c:v>782</c:v>
                </c:pt>
                <c:pt idx="139">
                  <c:v>782</c:v>
                </c:pt>
                <c:pt idx="140">
                  <c:v>780</c:v>
                </c:pt>
                <c:pt idx="141">
                  <c:v>788</c:v>
                </c:pt>
                <c:pt idx="142">
                  <c:v>791</c:v>
                </c:pt>
                <c:pt idx="143">
                  <c:v>829</c:v>
                </c:pt>
                <c:pt idx="144">
                  <c:v>848</c:v>
                </c:pt>
                <c:pt idx="145">
                  <c:v>848</c:v>
                </c:pt>
                <c:pt idx="146">
                  <c:v>848</c:v>
                </c:pt>
                <c:pt idx="147">
                  <c:v>878</c:v>
                </c:pt>
                <c:pt idx="148">
                  <c:v>904</c:v>
                </c:pt>
                <c:pt idx="149">
                  <c:v>937</c:v>
                </c:pt>
                <c:pt idx="150">
                  <c:v>957</c:v>
                </c:pt>
                <c:pt idx="151">
                  <c:v>940</c:v>
                </c:pt>
                <c:pt idx="152">
                  <c:v>940</c:v>
                </c:pt>
                <c:pt idx="153">
                  <c:v>940</c:v>
                </c:pt>
                <c:pt idx="154">
                  <c:v>964</c:v>
                </c:pt>
                <c:pt idx="155">
                  <c:v>972</c:v>
                </c:pt>
                <c:pt idx="156">
                  <c:v>1015</c:v>
                </c:pt>
                <c:pt idx="157">
                  <c:v>1047</c:v>
                </c:pt>
                <c:pt idx="158">
                  <c:v>1067</c:v>
                </c:pt>
                <c:pt idx="159">
                  <c:v>1067</c:v>
                </c:pt>
                <c:pt idx="160">
                  <c:v>1067</c:v>
                </c:pt>
                <c:pt idx="161">
                  <c:v>1114</c:v>
                </c:pt>
                <c:pt idx="162">
                  <c:v>1115</c:v>
                </c:pt>
                <c:pt idx="163">
                  <c:v>1136</c:v>
                </c:pt>
                <c:pt idx="164">
                  <c:v>1178</c:v>
                </c:pt>
                <c:pt idx="165">
                  <c:v>1201</c:v>
                </c:pt>
                <c:pt idx="166">
                  <c:v>1201</c:v>
                </c:pt>
                <c:pt idx="167">
                  <c:v>1201</c:v>
                </c:pt>
                <c:pt idx="168">
                  <c:v>1241</c:v>
                </c:pt>
                <c:pt idx="169">
                  <c:v>1267</c:v>
                </c:pt>
                <c:pt idx="170">
                  <c:v>1295</c:v>
                </c:pt>
                <c:pt idx="171">
                  <c:v>1307</c:v>
                </c:pt>
                <c:pt idx="172">
                  <c:v>1324</c:v>
                </c:pt>
                <c:pt idx="173">
                  <c:v>1324</c:v>
                </c:pt>
                <c:pt idx="174">
                  <c:v>1324</c:v>
                </c:pt>
                <c:pt idx="175">
                  <c:v>1331</c:v>
                </c:pt>
                <c:pt idx="176">
                  <c:v>1328</c:v>
                </c:pt>
                <c:pt idx="177">
                  <c:v>1362</c:v>
                </c:pt>
                <c:pt idx="178">
                  <c:v>1376</c:v>
                </c:pt>
                <c:pt idx="179">
                  <c:v>1391</c:v>
                </c:pt>
                <c:pt idx="180">
                  <c:v>1391</c:v>
                </c:pt>
                <c:pt idx="181">
                  <c:v>1391</c:v>
                </c:pt>
                <c:pt idx="182">
                  <c:v>1398</c:v>
                </c:pt>
                <c:pt idx="183">
                  <c:v>1391</c:v>
                </c:pt>
                <c:pt idx="184">
                  <c:v>1392</c:v>
                </c:pt>
                <c:pt idx="185">
                  <c:v>1382</c:v>
                </c:pt>
                <c:pt idx="186">
                  <c:v>1384</c:v>
                </c:pt>
                <c:pt idx="187">
                  <c:v>1254</c:v>
                </c:pt>
                <c:pt idx="188">
                  <c:v>1254</c:v>
                </c:pt>
                <c:pt idx="189">
                  <c:v>1245</c:v>
                </c:pt>
                <c:pt idx="190">
                  <c:v>1226</c:v>
                </c:pt>
                <c:pt idx="191">
                  <c:v>1218</c:v>
                </c:pt>
                <c:pt idx="192">
                  <c:v>1186</c:v>
                </c:pt>
                <c:pt idx="193">
                  <c:v>1179</c:v>
                </c:pt>
                <c:pt idx="194">
                  <c:v>1034</c:v>
                </c:pt>
                <c:pt idx="195">
                  <c:v>1034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3D-45EB-8F00-7DFFF11E8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891839"/>
        <c:axId val="288892671"/>
      </c:lineChart>
      <c:catAx>
        <c:axId val="288891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</a:t>
                </a:r>
                <a:r>
                  <a:rPr lang="en-GB" baseline="0"/>
                  <a:t> of season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2671"/>
        <c:crosses val="autoZero"/>
        <c:auto val="1"/>
        <c:lblAlgn val="ctr"/>
        <c:lblOffset val="100"/>
        <c:noMultiLvlLbl val="0"/>
      </c:catAx>
      <c:valAx>
        <c:axId val="2888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</a:t>
            </a:r>
            <a:r>
              <a:rPr lang="en-GB" baseline="0"/>
              <a:t> Pond Size (end) original vs current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'Stochastic Cutting'!$J$18:$J$213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177</c:v>
                </c:pt>
                <c:pt idx="3">
                  <c:v>215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258</c:v>
                </c:pt>
                <c:pt idx="8">
                  <c:v>204</c:v>
                </c:pt>
                <c:pt idx="9">
                  <c:v>247</c:v>
                </c:pt>
                <c:pt idx="10">
                  <c:v>348</c:v>
                </c:pt>
                <c:pt idx="11">
                  <c:v>422</c:v>
                </c:pt>
                <c:pt idx="12">
                  <c:v>422</c:v>
                </c:pt>
                <c:pt idx="13">
                  <c:v>422</c:v>
                </c:pt>
                <c:pt idx="14">
                  <c:v>355</c:v>
                </c:pt>
                <c:pt idx="15">
                  <c:v>308</c:v>
                </c:pt>
                <c:pt idx="16">
                  <c:v>269</c:v>
                </c:pt>
                <c:pt idx="17">
                  <c:v>187</c:v>
                </c:pt>
                <c:pt idx="18">
                  <c:v>294</c:v>
                </c:pt>
                <c:pt idx="19">
                  <c:v>294</c:v>
                </c:pt>
                <c:pt idx="20">
                  <c:v>294</c:v>
                </c:pt>
                <c:pt idx="21">
                  <c:v>249</c:v>
                </c:pt>
                <c:pt idx="22">
                  <c:v>206</c:v>
                </c:pt>
                <c:pt idx="23">
                  <c:v>134</c:v>
                </c:pt>
                <c:pt idx="24">
                  <c:v>110</c:v>
                </c:pt>
                <c:pt idx="25">
                  <c:v>216</c:v>
                </c:pt>
                <c:pt idx="26">
                  <c:v>216</c:v>
                </c:pt>
                <c:pt idx="27">
                  <c:v>216</c:v>
                </c:pt>
                <c:pt idx="28">
                  <c:v>164</c:v>
                </c:pt>
                <c:pt idx="29">
                  <c:v>154</c:v>
                </c:pt>
                <c:pt idx="30">
                  <c:v>53</c:v>
                </c:pt>
                <c:pt idx="31">
                  <c:v>152</c:v>
                </c:pt>
                <c:pt idx="32">
                  <c:v>193</c:v>
                </c:pt>
                <c:pt idx="33">
                  <c:v>193</c:v>
                </c:pt>
                <c:pt idx="34">
                  <c:v>193</c:v>
                </c:pt>
                <c:pt idx="35">
                  <c:v>193</c:v>
                </c:pt>
                <c:pt idx="36">
                  <c:v>150</c:v>
                </c:pt>
                <c:pt idx="37">
                  <c:v>119</c:v>
                </c:pt>
                <c:pt idx="38">
                  <c:v>120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224</c:v>
                </c:pt>
                <c:pt idx="43">
                  <c:v>249</c:v>
                </c:pt>
                <c:pt idx="44">
                  <c:v>238</c:v>
                </c:pt>
                <c:pt idx="45">
                  <c:v>199</c:v>
                </c:pt>
                <c:pt idx="46">
                  <c:v>189</c:v>
                </c:pt>
                <c:pt idx="47">
                  <c:v>189</c:v>
                </c:pt>
                <c:pt idx="48">
                  <c:v>189</c:v>
                </c:pt>
                <c:pt idx="49">
                  <c:v>179</c:v>
                </c:pt>
                <c:pt idx="50">
                  <c:v>164</c:v>
                </c:pt>
                <c:pt idx="51">
                  <c:v>142</c:v>
                </c:pt>
                <c:pt idx="52">
                  <c:v>156</c:v>
                </c:pt>
                <c:pt idx="53">
                  <c:v>137</c:v>
                </c:pt>
                <c:pt idx="54">
                  <c:v>137</c:v>
                </c:pt>
                <c:pt idx="55">
                  <c:v>137</c:v>
                </c:pt>
                <c:pt idx="56">
                  <c:v>147</c:v>
                </c:pt>
                <c:pt idx="57">
                  <c:v>152</c:v>
                </c:pt>
                <c:pt idx="58">
                  <c:v>169</c:v>
                </c:pt>
                <c:pt idx="59">
                  <c:v>179</c:v>
                </c:pt>
                <c:pt idx="60">
                  <c:v>192</c:v>
                </c:pt>
                <c:pt idx="61">
                  <c:v>57</c:v>
                </c:pt>
                <c:pt idx="62">
                  <c:v>57</c:v>
                </c:pt>
                <c:pt idx="63">
                  <c:v>159</c:v>
                </c:pt>
                <c:pt idx="64">
                  <c:v>156</c:v>
                </c:pt>
                <c:pt idx="65">
                  <c:v>189</c:v>
                </c:pt>
                <c:pt idx="66">
                  <c:v>223</c:v>
                </c:pt>
                <c:pt idx="67">
                  <c:v>215</c:v>
                </c:pt>
                <c:pt idx="68">
                  <c:v>89</c:v>
                </c:pt>
                <c:pt idx="69">
                  <c:v>89</c:v>
                </c:pt>
                <c:pt idx="70">
                  <c:v>144</c:v>
                </c:pt>
                <c:pt idx="71">
                  <c:v>142</c:v>
                </c:pt>
                <c:pt idx="72">
                  <c:v>157</c:v>
                </c:pt>
                <c:pt idx="73">
                  <c:v>140</c:v>
                </c:pt>
                <c:pt idx="74">
                  <c:v>161</c:v>
                </c:pt>
                <c:pt idx="75">
                  <c:v>161</c:v>
                </c:pt>
                <c:pt idx="76">
                  <c:v>161</c:v>
                </c:pt>
                <c:pt idx="77">
                  <c:v>110</c:v>
                </c:pt>
                <c:pt idx="78">
                  <c:v>193</c:v>
                </c:pt>
                <c:pt idx="79">
                  <c:v>204</c:v>
                </c:pt>
                <c:pt idx="80">
                  <c:v>225</c:v>
                </c:pt>
                <c:pt idx="81">
                  <c:v>223</c:v>
                </c:pt>
                <c:pt idx="82">
                  <c:v>223</c:v>
                </c:pt>
                <c:pt idx="83">
                  <c:v>223</c:v>
                </c:pt>
                <c:pt idx="84">
                  <c:v>228</c:v>
                </c:pt>
                <c:pt idx="85">
                  <c:v>233</c:v>
                </c:pt>
                <c:pt idx="86">
                  <c:v>227</c:v>
                </c:pt>
                <c:pt idx="87">
                  <c:v>228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245</c:v>
                </c:pt>
                <c:pt idx="92">
                  <c:v>165</c:v>
                </c:pt>
                <c:pt idx="93">
                  <c:v>240</c:v>
                </c:pt>
                <c:pt idx="94">
                  <c:v>261</c:v>
                </c:pt>
                <c:pt idx="95">
                  <c:v>257</c:v>
                </c:pt>
                <c:pt idx="96">
                  <c:v>257</c:v>
                </c:pt>
                <c:pt idx="97">
                  <c:v>257</c:v>
                </c:pt>
                <c:pt idx="98">
                  <c:v>302</c:v>
                </c:pt>
                <c:pt idx="99">
                  <c:v>316</c:v>
                </c:pt>
                <c:pt idx="100">
                  <c:v>348</c:v>
                </c:pt>
                <c:pt idx="101">
                  <c:v>385</c:v>
                </c:pt>
                <c:pt idx="102">
                  <c:v>406</c:v>
                </c:pt>
                <c:pt idx="103">
                  <c:v>270</c:v>
                </c:pt>
                <c:pt idx="104">
                  <c:v>270</c:v>
                </c:pt>
                <c:pt idx="105">
                  <c:v>295</c:v>
                </c:pt>
                <c:pt idx="106">
                  <c:v>336</c:v>
                </c:pt>
                <c:pt idx="107">
                  <c:v>346</c:v>
                </c:pt>
                <c:pt idx="108">
                  <c:v>378</c:v>
                </c:pt>
                <c:pt idx="109">
                  <c:v>409</c:v>
                </c:pt>
                <c:pt idx="110">
                  <c:v>285</c:v>
                </c:pt>
                <c:pt idx="111">
                  <c:v>285</c:v>
                </c:pt>
                <c:pt idx="112">
                  <c:v>340</c:v>
                </c:pt>
                <c:pt idx="113">
                  <c:v>381</c:v>
                </c:pt>
                <c:pt idx="114">
                  <c:v>417</c:v>
                </c:pt>
                <c:pt idx="115">
                  <c:v>421</c:v>
                </c:pt>
                <c:pt idx="116">
                  <c:v>459</c:v>
                </c:pt>
                <c:pt idx="117">
                  <c:v>459</c:v>
                </c:pt>
                <c:pt idx="118">
                  <c:v>459</c:v>
                </c:pt>
                <c:pt idx="119">
                  <c:v>489</c:v>
                </c:pt>
                <c:pt idx="120">
                  <c:v>521</c:v>
                </c:pt>
                <c:pt idx="121">
                  <c:v>567</c:v>
                </c:pt>
                <c:pt idx="122">
                  <c:v>582</c:v>
                </c:pt>
                <c:pt idx="123">
                  <c:v>589</c:v>
                </c:pt>
                <c:pt idx="124">
                  <c:v>589</c:v>
                </c:pt>
                <c:pt idx="125">
                  <c:v>589</c:v>
                </c:pt>
                <c:pt idx="126">
                  <c:v>614</c:v>
                </c:pt>
                <c:pt idx="127">
                  <c:v>673</c:v>
                </c:pt>
                <c:pt idx="128">
                  <c:v>739</c:v>
                </c:pt>
                <c:pt idx="129">
                  <c:v>766</c:v>
                </c:pt>
                <c:pt idx="130">
                  <c:v>833</c:v>
                </c:pt>
                <c:pt idx="131">
                  <c:v>683</c:v>
                </c:pt>
                <c:pt idx="132">
                  <c:v>683</c:v>
                </c:pt>
                <c:pt idx="133">
                  <c:v>744</c:v>
                </c:pt>
                <c:pt idx="134">
                  <c:v>797</c:v>
                </c:pt>
                <c:pt idx="135">
                  <c:v>839</c:v>
                </c:pt>
                <c:pt idx="136">
                  <c:v>889</c:v>
                </c:pt>
                <c:pt idx="137">
                  <c:v>909</c:v>
                </c:pt>
                <c:pt idx="138">
                  <c:v>782</c:v>
                </c:pt>
                <c:pt idx="139">
                  <c:v>782</c:v>
                </c:pt>
                <c:pt idx="140">
                  <c:v>780</c:v>
                </c:pt>
                <c:pt idx="141">
                  <c:v>788</c:v>
                </c:pt>
                <c:pt idx="142">
                  <c:v>791</c:v>
                </c:pt>
                <c:pt idx="143">
                  <c:v>829</c:v>
                </c:pt>
                <c:pt idx="144">
                  <c:v>848</c:v>
                </c:pt>
                <c:pt idx="145">
                  <c:v>848</c:v>
                </c:pt>
                <c:pt idx="146">
                  <c:v>848</c:v>
                </c:pt>
                <c:pt idx="147">
                  <c:v>878</c:v>
                </c:pt>
                <c:pt idx="148">
                  <c:v>904</c:v>
                </c:pt>
                <c:pt idx="149">
                  <c:v>937</c:v>
                </c:pt>
                <c:pt idx="150">
                  <c:v>957</c:v>
                </c:pt>
                <c:pt idx="151">
                  <c:v>940</c:v>
                </c:pt>
                <c:pt idx="152">
                  <c:v>940</c:v>
                </c:pt>
                <c:pt idx="153">
                  <c:v>940</c:v>
                </c:pt>
                <c:pt idx="154">
                  <c:v>964</c:v>
                </c:pt>
                <c:pt idx="155">
                  <c:v>972</c:v>
                </c:pt>
                <c:pt idx="156">
                  <c:v>1015</c:v>
                </c:pt>
                <c:pt idx="157">
                  <c:v>1047</c:v>
                </c:pt>
                <c:pt idx="158">
                  <c:v>1067</c:v>
                </c:pt>
                <c:pt idx="159">
                  <c:v>1067</c:v>
                </c:pt>
                <c:pt idx="160">
                  <c:v>1067</c:v>
                </c:pt>
                <c:pt idx="161">
                  <c:v>1114</c:v>
                </c:pt>
                <c:pt idx="162">
                  <c:v>1115</c:v>
                </c:pt>
                <c:pt idx="163">
                  <c:v>1136</c:v>
                </c:pt>
                <c:pt idx="164">
                  <c:v>1178</c:v>
                </c:pt>
                <c:pt idx="165">
                  <c:v>1201</c:v>
                </c:pt>
                <c:pt idx="166">
                  <c:v>1201</c:v>
                </c:pt>
                <c:pt idx="167">
                  <c:v>1201</c:v>
                </c:pt>
                <c:pt idx="168">
                  <c:v>1241</c:v>
                </c:pt>
                <c:pt idx="169">
                  <c:v>1267</c:v>
                </c:pt>
                <c:pt idx="170">
                  <c:v>1295</c:v>
                </c:pt>
                <c:pt idx="171">
                  <c:v>1307</c:v>
                </c:pt>
                <c:pt idx="172">
                  <c:v>1324</c:v>
                </c:pt>
                <c:pt idx="173">
                  <c:v>1324</c:v>
                </c:pt>
                <c:pt idx="174">
                  <c:v>1324</c:v>
                </c:pt>
                <c:pt idx="175">
                  <c:v>1331</c:v>
                </c:pt>
                <c:pt idx="176">
                  <c:v>1328</c:v>
                </c:pt>
                <c:pt idx="177">
                  <c:v>1362</c:v>
                </c:pt>
                <c:pt idx="178">
                  <c:v>1376</c:v>
                </c:pt>
                <c:pt idx="179">
                  <c:v>1391</c:v>
                </c:pt>
                <c:pt idx="180">
                  <c:v>1391</c:v>
                </c:pt>
                <c:pt idx="181">
                  <c:v>1391</c:v>
                </c:pt>
                <c:pt idx="182">
                  <c:v>1398</c:v>
                </c:pt>
                <c:pt idx="183">
                  <c:v>1391</c:v>
                </c:pt>
                <c:pt idx="184">
                  <c:v>1392</c:v>
                </c:pt>
                <c:pt idx="185">
                  <c:v>1382</c:v>
                </c:pt>
                <c:pt idx="186">
                  <c:v>1384</c:v>
                </c:pt>
                <c:pt idx="187">
                  <c:v>1254</c:v>
                </c:pt>
                <c:pt idx="188">
                  <c:v>1254</c:v>
                </c:pt>
                <c:pt idx="189">
                  <c:v>1245</c:v>
                </c:pt>
                <c:pt idx="190">
                  <c:v>1226</c:v>
                </c:pt>
                <c:pt idx="191">
                  <c:v>1218</c:v>
                </c:pt>
                <c:pt idx="192">
                  <c:v>1186</c:v>
                </c:pt>
                <c:pt idx="193">
                  <c:v>1179</c:v>
                </c:pt>
                <c:pt idx="194">
                  <c:v>1034</c:v>
                </c:pt>
                <c:pt idx="195">
                  <c:v>1034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1-48A6-9E80-5C9DD0EB00C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'Stochastic Cutting'!$BB$18:$BB$213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95</c:v>
                </c:pt>
                <c:pt idx="3">
                  <c:v>38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143</c:v>
                </c:pt>
                <c:pt idx="8">
                  <c:v>98</c:v>
                </c:pt>
                <c:pt idx="9">
                  <c:v>43</c:v>
                </c:pt>
                <c:pt idx="10">
                  <c:v>101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116</c:v>
                </c:pt>
                <c:pt idx="15">
                  <c:v>79</c:v>
                </c:pt>
                <c:pt idx="16">
                  <c:v>84</c:v>
                </c:pt>
                <c:pt idx="17">
                  <c:v>78</c:v>
                </c:pt>
                <c:pt idx="18">
                  <c:v>185</c:v>
                </c:pt>
                <c:pt idx="19">
                  <c:v>185</c:v>
                </c:pt>
                <c:pt idx="20">
                  <c:v>185</c:v>
                </c:pt>
                <c:pt idx="21">
                  <c:v>157</c:v>
                </c:pt>
                <c:pt idx="22">
                  <c:v>111</c:v>
                </c:pt>
                <c:pt idx="23">
                  <c:v>79</c:v>
                </c:pt>
                <c:pt idx="24">
                  <c:v>110</c:v>
                </c:pt>
                <c:pt idx="25">
                  <c:v>216</c:v>
                </c:pt>
                <c:pt idx="26">
                  <c:v>216</c:v>
                </c:pt>
                <c:pt idx="27">
                  <c:v>216</c:v>
                </c:pt>
                <c:pt idx="28">
                  <c:v>179</c:v>
                </c:pt>
                <c:pt idx="29">
                  <c:v>162</c:v>
                </c:pt>
                <c:pt idx="30">
                  <c:v>81</c:v>
                </c:pt>
                <c:pt idx="31">
                  <c:v>152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144</c:v>
                </c:pt>
                <c:pt idx="36">
                  <c:v>131</c:v>
                </c:pt>
                <c:pt idx="37">
                  <c:v>118</c:v>
                </c:pt>
                <c:pt idx="38">
                  <c:v>120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114</c:v>
                </c:pt>
                <c:pt idx="43">
                  <c:v>148</c:v>
                </c:pt>
                <c:pt idx="44">
                  <c:v>134</c:v>
                </c:pt>
                <c:pt idx="45">
                  <c:v>116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127</c:v>
                </c:pt>
                <c:pt idx="50">
                  <c:v>115</c:v>
                </c:pt>
                <c:pt idx="51">
                  <c:v>123</c:v>
                </c:pt>
                <c:pt idx="52">
                  <c:v>136</c:v>
                </c:pt>
                <c:pt idx="53">
                  <c:v>117</c:v>
                </c:pt>
                <c:pt idx="54">
                  <c:v>117</c:v>
                </c:pt>
                <c:pt idx="55">
                  <c:v>117</c:v>
                </c:pt>
                <c:pt idx="56">
                  <c:v>137</c:v>
                </c:pt>
                <c:pt idx="57">
                  <c:v>159</c:v>
                </c:pt>
                <c:pt idx="58">
                  <c:v>172</c:v>
                </c:pt>
                <c:pt idx="59">
                  <c:v>208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266</c:v>
                </c:pt>
                <c:pt idx="64">
                  <c:v>274</c:v>
                </c:pt>
                <c:pt idx="65">
                  <c:v>313</c:v>
                </c:pt>
                <c:pt idx="66">
                  <c:v>339</c:v>
                </c:pt>
                <c:pt idx="67">
                  <c:v>352</c:v>
                </c:pt>
                <c:pt idx="68">
                  <c:v>352</c:v>
                </c:pt>
                <c:pt idx="69">
                  <c:v>352</c:v>
                </c:pt>
                <c:pt idx="70">
                  <c:v>346</c:v>
                </c:pt>
                <c:pt idx="71">
                  <c:v>338</c:v>
                </c:pt>
                <c:pt idx="72">
                  <c:v>335</c:v>
                </c:pt>
                <c:pt idx="73">
                  <c:v>325</c:v>
                </c:pt>
                <c:pt idx="74">
                  <c:v>336</c:v>
                </c:pt>
                <c:pt idx="75">
                  <c:v>336</c:v>
                </c:pt>
                <c:pt idx="76">
                  <c:v>336</c:v>
                </c:pt>
                <c:pt idx="77">
                  <c:v>261</c:v>
                </c:pt>
                <c:pt idx="78">
                  <c:v>304</c:v>
                </c:pt>
                <c:pt idx="79">
                  <c:v>314</c:v>
                </c:pt>
                <c:pt idx="80">
                  <c:v>311</c:v>
                </c:pt>
                <c:pt idx="81">
                  <c:v>307</c:v>
                </c:pt>
                <c:pt idx="82">
                  <c:v>307</c:v>
                </c:pt>
                <c:pt idx="83">
                  <c:v>307</c:v>
                </c:pt>
                <c:pt idx="84">
                  <c:v>309</c:v>
                </c:pt>
                <c:pt idx="85">
                  <c:v>320</c:v>
                </c:pt>
                <c:pt idx="86">
                  <c:v>321</c:v>
                </c:pt>
                <c:pt idx="87">
                  <c:v>332</c:v>
                </c:pt>
                <c:pt idx="88">
                  <c:v>351</c:v>
                </c:pt>
                <c:pt idx="89">
                  <c:v>351</c:v>
                </c:pt>
                <c:pt idx="90">
                  <c:v>351</c:v>
                </c:pt>
                <c:pt idx="91">
                  <c:v>341</c:v>
                </c:pt>
                <c:pt idx="92">
                  <c:v>260</c:v>
                </c:pt>
                <c:pt idx="93">
                  <c:v>315</c:v>
                </c:pt>
                <c:pt idx="94">
                  <c:v>317</c:v>
                </c:pt>
                <c:pt idx="95">
                  <c:v>312</c:v>
                </c:pt>
                <c:pt idx="96">
                  <c:v>312</c:v>
                </c:pt>
                <c:pt idx="97">
                  <c:v>312</c:v>
                </c:pt>
                <c:pt idx="98">
                  <c:v>333</c:v>
                </c:pt>
                <c:pt idx="99">
                  <c:v>352</c:v>
                </c:pt>
                <c:pt idx="100">
                  <c:v>372</c:v>
                </c:pt>
                <c:pt idx="101">
                  <c:v>405</c:v>
                </c:pt>
                <c:pt idx="102">
                  <c:v>435</c:v>
                </c:pt>
                <c:pt idx="103">
                  <c:v>435</c:v>
                </c:pt>
                <c:pt idx="104">
                  <c:v>435</c:v>
                </c:pt>
                <c:pt idx="105">
                  <c:v>441</c:v>
                </c:pt>
                <c:pt idx="106">
                  <c:v>459</c:v>
                </c:pt>
                <c:pt idx="107">
                  <c:v>465</c:v>
                </c:pt>
                <c:pt idx="108">
                  <c:v>504</c:v>
                </c:pt>
                <c:pt idx="109">
                  <c:v>515</c:v>
                </c:pt>
                <c:pt idx="110">
                  <c:v>515</c:v>
                </c:pt>
                <c:pt idx="111">
                  <c:v>515</c:v>
                </c:pt>
                <c:pt idx="112">
                  <c:v>544</c:v>
                </c:pt>
                <c:pt idx="113">
                  <c:v>559</c:v>
                </c:pt>
                <c:pt idx="114">
                  <c:v>580</c:v>
                </c:pt>
                <c:pt idx="115">
                  <c:v>581</c:v>
                </c:pt>
                <c:pt idx="116">
                  <c:v>602</c:v>
                </c:pt>
                <c:pt idx="117">
                  <c:v>602</c:v>
                </c:pt>
                <c:pt idx="118">
                  <c:v>602</c:v>
                </c:pt>
                <c:pt idx="119">
                  <c:v>629</c:v>
                </c:pt>
                <c:pt idx="120">
                  <c:v>631</c:v>
                </c:pt>
                <c:pt idx="121">
                  <c:v>650</c:v>
                </c:pt>
                <c:pt idx="122">
                  <c:v>659</c:v>
                </c:pt>
                <c:pt idx="123">
                  <c:v>664</c:v>
                </c:pt>
                <c:pt idx="124">
                  <c:v>664</c:v>
                </c:pt>
                <c:pt idx="125">
                  <c:v>664</c:v>
                </c:pt>
                <c:pt idx="126">
                  <c:v>692</c:v>
                </c:pt>
                <c:pt idx="127">
                  <c:v>723</c:v>
                </c:pt>
                <c:pt idx="128">
                  <c:v>761</c:v>
                </c:pt>
                <c:pt idx="129">
                  <c:v>797</c:v>
                </c:pt>
                <c:pt idx="130">
                  <c:v>837</c:v>
                </c:pt>
                <c:pt idx="131">
                  <c:v>837</c:v>
                </c:pt>
                <c:pt idx="132">
                  <c:v>837</c:v>
                </c:pt>
                <c:pt idx="133">
                  <c:v>872</c:v>
                </c:pt>
                <c:pt idx="134">
                  <c:v>912</c:v>
                </c:pt>
                <c:pt idx="135">
                  <c:v>937</c:v>
                </c:pt>
                <c:pt idx="136">
                  <c:v>972</c:v>
                </c:pt>
                <c:pt idx="137">
                  <c:v>997</c:v>
                </c:pt>
                <c:pt idx="138">
                  <c:v>997</c:v>
                </c:pt>
                <c:pt idx="139">
                  <c:v>997</c:v>
                </c:pt>
                <c:pt idx="140">
                  <c:v>988</c:v>
                </c:pt>
                <c:pt idx="141">
                  <c:v>991</c:v>
                </c:pt>
                <c:pt idx="142">
                  <c:v>989</c:v>
                </c:pt>
                <c:pt idx="143">
                  <c:v>994</c:v>
                </c:pt>
                <c:pt idx="144">
                  <c:v>1005</c:v>
                </c:pt>
                <c:pt idx="145">
                  <c:v>1005</c:v>
                </c:pt>
                <c:pt idx="146">
                  <c:v>1005</c:v>
                </c:pt>
                <c:pt idx="147">
                  <c:v>1005</c:v>
                </c:pt>
                <c:pt idx="148">
                  <c:v>1011</c:v>
                </c:pt>
                <c:pt idx="149">
                  <c:v>1009</c:v>
                </c:pt>
                <c:pt idx="150">
                  <c:v>1002</c:v>
                </c:pt>
                <c:pt idx="151">
                  <c:v>989</c:v>
                </c:pt>
                <c:pt idx="152">
                  <c:v>989</c:v>
                </c:pt>
                <c:pt idx="153">
                  <c:v>989</c:v>
                </c:pt>
                <c:pt idx="154">
                  <c:v>989</c:v>
                </c:pt>
                <c:pt idx="155">
                  <c:v>991</c:v>
                </c:pt>
                <c:pt idx="156">
                  <c:v>1014</c:v>
                </c:pt>
                <c:pt idx="157">
                  <c:v>1026</c:v>
                </c:pt>
                <c:pt idx="158">
                  <c:v>1039</c:v>
                </c:pt>
                <c:pt idx="159">
                  <c:v>1039</c:v>
                </c:pt>
                <c:pt idx="160">
                  <c:v>1039</c:v>
                </c:pt>
                <c:pt idx="161">
                  <c:v>1054</c:v>
                </c:pt>
                <c:pt idx="162">
                  <c:v>1058</c:v>
                </c:pt>
                <c:pt idx="163">
                  <c:v>1066</c:v>
                </c:pt>
                <c:pt idx="164">
                  <c:v>1085</c:v>
                </c:pt>
                <c:pt idx="165">
                  <c:v>1096</c:v>
                </c:pt>
                <c:pt idx="166">
                  <c:v>1096</c:v>
                </c:pt>
                <c:pt idx="167">
                  <c:v>1096</c:v>
                </c:pt>
                <c:pt idx="168">
                  <c:v>1101</c:v>
                </c:pt>
                <c:pt idx="169">
                  <c:v>1105</c:v>
                </c:pt>
                <c:pt idx="170">
                  <c:v>1102</c:v>
                </c:pt>
                <c:pt idx="171">
                  <c:v>1104</c:v>
                </c:pt>
                <c:pt idx="172">
                  <c:v>1108</c:v>
                </c:pt>
                <c:pt idx="173">
                  <c:v>953</c:v>
                </c:pt>
                <c:pt idx="174">
                  <c:v>953</c:v>
                </c:pt>
                <c:pt idx="175">
                  <c:v>948</c:v>
                </c:pt>
                <c:pt idx="176">
                  <c:v>950</c:v>
                </c:pt>
                <c:pt idx="177">
                  <c:v>952</c:v>
                </c:pt>
                <c:pt idx="178">
                  <c:v>953</c:v>
                </c:pt>
                <c:pt idx="179">
                  <c:v>950</c:v>
                </c:pt>
                <c:pt idx="180">
                  <c:v>795</c:v>
                </c:pt>
                <c:pt idx="181">
                  <c:v>795</c:v>
                </c:pt>
                <c:pt idx="182">
                  <c:v>767</c:v>
                </c:pt>
                <c:pt idx="183">
                  <c:v>738</c:v>
                </c:pt>
                <c:pt idx="184">
                  <c:v>712</c:v>
                </c:pt>
                <c:pt idx="185">
                  <c:v>683</c:v>
                </c:pt>
                <c:pt idx="186">
                  <c:v>656</c:v>
                </c:pt>
                <c:pt idx="187">
                  <c:v>501</c:v>
                </c:pt>
                <c:pt idx="188">
                  <c:v>501</c:v>
                </c:pt>
                <c:pt idx="189">
                  <c:v>473</c:v>
                </c:pt>
                <c:pt idx="190">
                  <c:v>447</c:v>
                </c:pt>
                <c:pt idx="191">
                  <c:v>418</c:v>
                </c:pt>
                <c:pt idx="192">
                  <c:v>384</c:v>
                </c:pt>
                <c:pt idx="193">
                  <c:v>357</c:v>
                </c:pt>
                <c:pt idx="194">
                  <c:v>202</c:v>
                </c:pt>
                <c:pt idx="195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1-48A6-9E80-5C9DD0E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315775"/>
        <c:axId val="828336159"/>
      </c:lineChart>
      <c:catAx>
        <c:axId val="8283157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336159"/>
        <c:crosses val="autoZero"/>
        <c:auto val="1"/>
        <c:lblAlgn val="ctr"/>
        <c:lblOffset val="100"/>
        <c:noMultiLvlLbl val="0"/>
      </c:catAx>
      <c:valAx>
        <c:axId val="82833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31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Log Pond Size (end)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Modelling'!$AA$18:$AA$30</c:f>
              <c:strCache>
                <c:ptCount val="13"/>
                <c:pt idx="0">
                  <c:v>&lt;=100</c:v>
                </c:pt>
                <c:pt idx="1">
                  <c:v>101 - 200</c:v>
                </c:pt>
                <c:pt idx="2">
                  <c:v>201 - 300</c:v>
                </c:pt>
                <c:pt idx="3">
                  <c:v>301 - 400</c:v>
                </c:pt>
                <c:pt idx="4">
                  <c:v>401 - 500</c:v>
                </c:pt>
                <c:pt idx="5">
                  <c:v>501 - 600</c:v>
                </c:pt>
                <c:pt idx="6">
                  <c:v>601 - 700</c:v>
                </c:pt>
                <c:pt idx="7">
                  <c:v>701 - 800</c:v>
                </c:pt>
                <c:pt idx="8">
                  <c:v>801 - 900</c:v>
                </c:pt>
                <c:pt idx="9">
                  <c:v>901 - 1000</c:v>
                </c:pt>
                <c:pt idx="10">
                  <c:v>1001 - 1100</c:v>
                </c:pt>
                <c:pt idx="11">
                  <c:v>1101 - 1200</c:v>
                </c:pt>
                <c:pt idx="12">
                  <c:v>1201 +</c:v>
                </c:pt>
              </c:strCache>
            </c:strRef>
          </c:cat>
          <c:val>
            <c:numRef>
              <c:f>'Predictive Modelling'!$AC$18:$AC$30</c:f>
              <c:numCache>
                <c:formatCode>General</c:formatCode>
                <c:ptCount val="13"/>
                <c:pt idx="0">
                  <c:v>4</c:v>
                </c:pt>
                <c:pt idx="1">
                  <c:v>33</c:v>
                </c:pt>
                <c:pt idx="2">
                  <c:v>70</c:v>
                </c:pt>
                <c:pt idx="3">
                  <c:v>61</c:v>
                </c:pt>
                <c:pt idx="4">
                  <c:v>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8-47B7-B86C-9582E16117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1028111"/>
        <c:axId val="451049743"/>
      </c:barChart>
      <c:catAx>
        <c:axId val="45102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49743"/>
        <c:crosses val="autoZero"/>
        <c:auto val="1"/>
        <c:lblAlgn val="ctr"/>
        <c:lblOffset val="100"/>
        <c:noMultiLvlLbl val="0"/>
      </c:catAx>
      <c:valAx>
        <c:axId val="45104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28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 for Logs added to the pond (At)</a:t>
            </a:r>
          </a:p>
        </c:rich>
      </c:tx>
      <c:layout>
        <c:manualLayout>
          <c:xMode val="edge"/>
          <c:yMode val="edge"/>
          <c:x val="0.12640431686046194"/>
          <c:y val="2.3180343069077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Modelling'!$AE$18:$AE$26</c:f>
              <c:strCache>
                <c:ptCount val="9"/>
                <c:pt idx="0">
                  <c:v>=0</c:v>
                </c:pt>
                <c:pt idx="1">
                  <c:v>1 - 25</c:v>
                </c:pt>
                <c:pt idx="2">
                  <c:v>26 - 50</c:v>
                </c:pt>
                <c:pt idx="3">
                  <c:v>51 - 75</c:v>
                </c:pt>
                <c:pt idx="4">
                  <c:v>76 - 100</c:v>
                </c:pt>
                <c:pt idx="5">
                  <c:v>101 - 125</c:v>
                </c:pt>
                <c:pt idx="6">
                  <c:v>126 - 150</c:v>
                </c:pt>
                <c:pt idx="7">
                  <c:v>151 - 175</c:v>
                </c:pt>
                <c:pt idx="8">
                  <c:v>176 +</c:v>
                </c:pt>
              </c:strCache>
            </c:strRef>
          </c:cat>
          <c:val>
            <c:numRef>
              <c:f>'Predictive Modelling'!$AG$18:$AG$26</c:f>
              <c:numCache>
                <c:formatCode>General</c:formatCode>
                <c:ptCount val="9"/>
                <c:pt idx="0">
                  <c:v>56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10</c:v>
                </c:pt>
                <c:pt idx="5">
                  <c:v>18</c:v>
                </c:pt>
                <c:pt idx="6">
                  <c:v>30</c:v>
                </c:pt>
                <c:pt idx="7">
                  <c:v>57</c:v>
                </c:pt>
                <c:pt idx="8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2-4897-AC62-CA190CD793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630511"/>
        <c:axId val="356630927"/>
      </c:barChart>
      <c:catAx>
        <c:axId val="356630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30927"/>
        <c:crosses val="autoZero"/>
        <c:auto val="1"/>
        <c:lblAlgn val="ctr"/>
        <c:lblOffset val="100"/>
        <c:noMultiLvlLbl val="0"/>
      </c:catAx>
      <c:valAx>
        <c:axId val="35663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30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logs cut in the sawmill (Ct)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Modelling'!$AI$18:$AI$27</c:f>
              <c:strCache>
                <c:ptCount val="10"/>
                <c:pt idx="0">
                  <c:v>=0</c:v>
                </c:pt>
                <c:pt idx="1">
                  <c:v>1 - 20</c:v>
                </c:pt>
                <c:pt idx="2">
                  <c:v>21 - 40</c:v>
                </c:pt>
                <c:pt idx="3">
                  <c:v>41 - 60</c:v>
                </c:pt>
                <c:pt idx="4">
                  <c:v>61 - 80</c:v>
                </c:pt>
                <c:pt idx="5">
                  <c:v>81 - 100</c:v>
                </c:pt>
                <c:pt idx="6">
                  <c:v>101 - 120</c:v>
                </c:pt>
                <c:pt idx="7">
                  <c:v>121 - 140</c:v>
                </c:pt>
                <c:pt idx="8">
                  <c:v>141 - 160</c:v>
                </c:pt>
                <c:pt idx="9">
                  <c:v>161 +</c:v>
                </c:pt>
              </c:strCache>
            </c:strRef>
          </c:cat>
          <c:val>
            <c:numRef>
              <c:f>'Predictive Modelling'!$AK$18:$AK$27</c:f>
              <c:numCache>
                <c:formatCode>General</c:formatCode>
                <c:ptCount val="10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46</c:v>
                </c:pt>
                <c:pt idx="8">
                  <c:v>89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8-4B7F-A73F-D9DE8812D4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6012031"/>
        <c:axId val="466012447"/>
      </c:barChart>
      <c:catAx>
        <c:axId val="46601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12447"/>
        <c:crosses val="autoZero"/>
        <c:auto val="1"/>
        <c:lblAlgn val="ctr"/>
        <c:lblOffset val="100"/>
        <c:noMultiLvlLbl val="0"/>
      </c:catAx>
      <c:valAx>
        <c:axId val="46601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12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non-shortfall days (Ct)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Modelling'!$AM$18:$AM$25</c:f>
              <c:strCache>
                <c:ptCount val="8"/>
                <c:pt idx="0">
                  <c:v>&lt;=90</c:v>
                </c:pt>
                <c:pt idx="1">
                  <c:v>91 - 100</c:v>
                </c:pt>
                <c:pt idx="2">
                  <c:v>101 - 110</c:v>
                </c:pt>
                <c:pt idx="3">
                  <c:v>111 - 120</c:v>
                </c:pt>
                <c:pt idx="4">
                  <c:v>121 - 130</c:v>
                </c:pt>
                <c:pt idx="5">
                  <c:v>131 - 140</c:v>
                </c:pt>
                <c:pt idx="6">
                  <c:v>141 - 150</c:v>
                </c:pt>
                <c:pt idx="7">
                  <c:v>151 - 160</c:v>
                </c:pt>
              </c:strCache>
            </c:strRef>
          </c:cat>
          <c:val>
            <c:numRef>
              <c:f>'Predictive Modelling'!$AO$18:$AO$25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  <c:pt idx="5">
                  <c:v>0</c:v>
                </c:pt>
                <c:pt idx="6">
                  <c:v>51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3E2-A464-EE6F59A17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4701039"/>
        <c:axId val="454693551"/>
      </c:barChart>
      <c:catAx>
        <c:axId val="45470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3551"/>
        <c:crosses val="autoZero"/>
        <c:auto val="1"/>
        <c:lblAlgn val="ctr"/>
        <c:lblOffset val="100"/>
        <c:noMultiLvlLbl val="0"/>
      </c:catAx>
      <c:valAx>
        <c:axId val="45469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</a:t>
            </a:r>
            <a:r>
              <a:rPr lang="en-GB" baseline="0"/>
              <a:t> Pond Size (end) during the 196 day season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'Predictive Modelling'!$J$18:$J$213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177</c:v>
                </c:pt>
                <c:pt idx="3">
                  <c:v>215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268</c:v>
                </c:pt>
                <c:pt idx="8">
                  <c:v>223</c:v>
                </c:pt>
                <c:pt idx="9">
                  <c:v>266</c:v>
                </c:pt>
                <c:pt idx="10">
                  <c:v>367</c:v>
                </c:pt>
                <c:pt idx="11">
                  <c:v>441</c:v>
                </c:pt>
                <c:pt idx="12">
                  <c:v>441</c:v>
                </c:pt>
                <c:pt idx="13">
                  <c:v>441</c:v>
                </c:pt>
                <c:pt idx="14">
                  <c:v>382</c:v>
                </c:pt>
                <c:pt idx="15">
                  <c:v>331</c:v>
                </c:pt>
                <c:pt idx="16">
                  <c:v>285</c:v>
                </c:pt>
                <c:pt idx="17">
                  <c:v>233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312</c:v>
                </c:pt>
                <c:pt idx="22">
                  <c:v>266</c:v>
                </c:pt>
                <c:pt idx="23">
                  <c:v>215</c:v>
                </c:pt>
                <c:pt idx="24">
                  <c:v>195</c:v>
                </c:pt>
                <c:pt idx="25">
                  <c:v>301</c:v>
                </c:pt>
                <c:pt idx="26">
                  <c:v>301</c:v>
                </c:pt>
                <c:pt idx="27">
                  <c:v>301</c:v>
                </c:pt>
                <c:pt idx="28">
                  <c:v>264</c:v>
                </c:pt>
                <c:pt idx="29">
                  <c:v>247</c:v>
                </c:pt>
                <c:pt idx="30">
                  <c:v>166</c:v>
                </c:pt>
                <c:pt idx="31">
                  <c:v>188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243</c:v>
                </c:pt>
                <c:pt idx="36">
                  <c:v>230</c:v>
                </c:pt>
                <c:pt idx="37">
                  <c:v>217</c:v>
                </c:pt>
                <c:pt idx="38">
                  <c:v>207</c:v>
                </c:pt>
                <c:pt idx="39">
                  <c:v>318</c:v>
                </c:pt>
                <c:pt idx="40">
                  <c:v>318</c:v>
                </c:pt>
                <c:pt idx="41">
                  <c:v>318</c:v>
                </c:pt>
                <c:pt idx="42">
                  <c:v>302</c:v>
                </c:pt>
                <c:pt idx="43">
                  <c:v>320</c:v>
                </c:pt>
                <c:pt idx="44">
                  <c:v>306</c:v>
                </c:pt>
                <c:pt idx="45">
                  <c:v>288</c:v>
                </c:pt>
                <c:pt idx="46">
                  <c:v>302</c:v>
                </c:pt>
                <c:pt idx="47">
                  <c:v>302</c:v>
                </c:pt>
                <c:pt idx="48">
                  <c:v>302</c:v>
                </c:pt>
                <c:pt idx="49">
                  <c:v>285</c:v>
                </c:pt>
                <c:pt idx="50">
                  <c:v>270</c:v>
                </c:pt>
                <c:pt idx="51">
                  <c:v>263</c:v>
                </c:pt>
                <c:pt idx="52">
                  <c:v>269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257</c:v>
                </c:pt>
                <c:pt idx="57">
                  <c:v>279</c:v>
                </c:pt>
                <c:pt idx="58">
                  <c:v>292</c:v>
                </c:pt>
                <c:pt idx="59">
                  <c:v>328</c:v>
                </c:pt>
                <c:pt idx="60">
                  <c:v>357</c:v>
                </c:pt>
                <c:pt idx="61">
                  <c:v>227</c:v>
                </c:pt>
                <c:pt idx="62">
                  <c:v>227</c:v>
                </c:pt>
                <c:pt idx="63">
                  <c:v>256</c:v>
                </c:pt>
                <c:pt idx="64">
                  <c:v>264</c:v>
                </c:pt>
                <c:pt idx="65">
                  <c:v>303</c:v>
                </c:pt>
                <c:pt idx="66">
                  <c:v>329</c:v>
                </c:pt>
                <c:pt idx="67">
                  <c:v>342</c:v>
                </c:pt>
                <c:pt idx="68">
                  <c:v>212</c:v>
                </c:pt>
                <c:pt idx="69">
                  <c:v>212</c:v>
                </c:pt>
                <c:pt idx="70">
                  <c:v>206</c:v>
                </c:pt>
                <c:pt idx="71">
                  <c:v>198</c:v>
                </c:pt>
                <c:pt idx="72">
                  <c:v>195</c:v>
                </c:pt>
                <c:pt idx="73">
                  <c:v>185</c:v>
                </c:pt>
                <c:pt idx="74">
                  <c:v>196</c:v>
                </c:pt>
                <c:pt idx="75">
                  <c:v>196</c:v>
                </c:pt>
                <c:pt idx="76">
                  <c:v>196</c:v>
                </c:pt>
                <c:pt idx="77">
                  <c:v>121</c:v>
                </c:pt>
                <c:pt idx="78">
                  <c:v>193</c:v>
                </c:pt>
                <c:pt idx="79">
                  <c:v>203</c:v>
                </c:pt>
                <c:pt idx="80">
                  <c:v>200</c:v>
                </c:pt>
                <c:pt idx="81">
                  <c:v>196</c:v>
                </c:pt>
                <c:pt idx="82">
                  <c:v>196</c:v>
                </c:pt>
                <c:pt idx="83">
                  <c:v>196</c:v>
                </c:pt>
                <c:pt idx="84">
                  <c:v>198</c:v>
                </c:pt>
                <c:pt idx="85">
                  <c:v>209</c:v>
                </c:pt>
                <c:pt idx="86">
                  <c:v>210</c:v>
                </c:pt>
                <c:pt idx="87">
                  <c:v>221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230</c:v>
                </c:pt>
                <c:pt idx="92">
                  <c:v>149</c:v>
                </c:pt>
                <c:pt idx="93">
                  <c:v>205</c:v>
                </c:pt>
                <c:pt idx="94">
                  <c:v>207</c:v>
                </c:pt>
                <c:pt idx="95">
                  <c:v>202</c:v>
                </c:pt>
                <c:pt idx="96">
                  <c:v>202</c:v>
                </c:pt>
                <c:pt idx="97">
                  <c:v>202</c:v>
                </c:pt>
                <c:pt idx="98">
                  <c:v>223</c:v>
                </c:pt>
                <c:pt idx="99">
                  <c:v>242</c:v>
                </c:pt>
                <c:pt idx="100">
                  <c:v>262</c:v>
                </c:pt>
                <c:pt idx="101">
                  <c:v>295</c:v>
                </c:pt>
                <c:pt idx="102">
                  <c:v>325</c:v>
                </c:pt>
                <c:pt idx="103">
                  <c:v>175</c:v>
                </c:pt>
                <c:pt idx="104">
                  <c:v>175</c:v>
                </c:pt>
                <c:pt idx="105">
                  <c:v>181</c:v>
                </c:pt>
                <c:pt idx="106">
                  <c:v>199</c:v>
                </c:pt>
                <c:pt idx="107">
                  <c:v>205</c:v>
                </c:pt>
                <c:pt idx="108">
                  <c:v>244</c:v>
                </c:pt>
                <c:pt idx="109">
                  <c:v>255</c:v>
                </c:pt>
                <c:pt idx="110">
                  <c:v>105</c:v>
                </c:pt>
                <c:pt idx="111">
                  <c:v>105</c:v>
                </c:pt>
                <c:pt idx="112">
                  <c:v>179</c:v>
                </c:pt>
                <c:pt idx="113">
                  <c:v>194</c:v>
                </c:pt>
                <c:pt idx="114">
                  <c:v>215</c:v>
                </c:pt>
                <c:pt idx="115">
                  <c:v>216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264</c:v>
                </c:pt>
                <c:pt idx="120">
                  <c:v>266</c:v>
                </c:pt>
                <c:pt idx="121">
                  <c:v>285</c:v>
                </c:pt>
                <c:pt idx="122">
                  <c:v>294</c:v>
                </c:pt>
                <c:pt idx="123">
                  <c:v>299</c:v>
                </c:pt>
                <c:pt idx="124">
                  <c:v>299</c:v>
                </c:pt>
                <c:pt idx="125">
                  <c:v>299</c:v>
                </c:pt>
                <c:pt idx="126">
                  <c:v>327</c:v>
                </c:pt>
                <c:pt idx="127">
                  <c:v>358</c:v>
                </c:pt>
                <c:pt idx="128">
                  <c:v>396</c:v>
                </c:pt>
                <c:pt idx="129">
                  <c:v>432</c:v>
                </c:pt>
                <c:pt idx="130">
                  <c:v>472</c:v>
                </c:pt>
                <c:pt idx="131">
                  <c:v>322</c:v>
                </c:pt>
                <c:pt idx="132">
                  <c:v>322</c:v>
                </c:pt>
                <c:pt idx="133">
                  <c:v>357</c:v>
                </c:pt>
                <c:pt idx="134">
                  <c:v>397</c:v>
                </c:pt>
                <c:pt idx="135">
                  <c:v>422</c:v>
                </c:pt>
                <c:pt idx="136">
                  <c:v>457</c:v>
                </c:pt>
                <c:pt idx="137">
                  <c:v>482</c:v>
                </c:pt>
                <c:pt idx="138">
                  <c:v>332</c:v>
                </c:pt>
                <c:pt idx="139">
                  <c:v>332</c:v>
                </c:pt>
                <c:pt idx="140">
                  <c:v>323</c:v>
                </c:pt>
                <c:pt idx="141">
                  <c:v>326</c:v>
                </c:pt>
                <c:pt idx="142">
                  <c:v>324</c:v>
                </c:pt>
                <c:pt idx="143">
                  <c:v>329</c:v>
                </c:pt>
                <c:pt idx="144">
                  <c:v>340</c:v>
                </c:pt>
                <c:pt idx="145">
                  <c:v>340</c:v>
                </c:pt>
                <c:pt idx="146">
                  <c:v>340</c:v>
                </c:pt>
                <c:pt idx="147">
                  <c:v>340</c:v>
                </c:pt>
                <c:pt idx="148">
                  <c:v>346</c:v>
                </c:pt>
                <c:pt idx="149">
                  <c:v>344</c:v>
                </c:pt>
                <c:pt idx="150">
                  <c:v>337</c:v>
                </c:pt>
                <c:pt idx="151">
                  <c:v>324</c:v>
                </c:pt>
                <c:pt idx="152">
                  <c:v>324</c:v>
                </c:pt>
                <c:pt idx="153">
                  <c:v>324</c:v>
                </c:pt>
                <c:pt idx="154">
                  <c:v>324</c:v>
                </c:pt>
                <c:pt idx="155">
                  <c:v>326</c:v>
                </c:pt>
                <c:pt idx="156">
                  <c:v>349</c:v>
                </c:pt>
                <c:pt idx="157">
                  <c:v>361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389</c:v>
                </c:pt>
                <c:pt idx="162">
                  <c:v>393</c:v>
                </c:pt>
                <c:pt idx="163">
                  <c:v>401</c:v>
                </c:pt>
                <c:pt idx="164">
                  <c:v>420</c:v>
                </c:pt>
                <c:pt idx="165">
                  <c:v>431</c:v>
                </c:pt>
                <c:pt idx="166">
                  <c:v>431</c:v>
                </c:pt>
                <c:pt idx="167">
                  <c:v>431</c:v>
                </c:pt>
                <c:pt idx="168">
                  <c:v>436</c:v>
                </c:pt>
                <c:pt idx="169">
                  <c:v>440</c:v>
                </c:pt>
                <c:pt idx="170">
                  <c:v>437</c:v>
                </c:pt>
                <c:pt idx="171">
                  <c:v>439</c:v>
                </c:pt>
                <c:pt idx="172">
                  <c:v>443</c:v>
                </c:pt>
                <c:pt idx="173">
                  <c:v>443</c:v>
                </c:pt>
                <c:pt idx="174">
                  <c:v>443</c:v>
                </c:pt>
                <c:pt idx="175">
                  <c:v>438</c:v>
                </c:pt>
                <c:pt idx="176">
                  <c:v>440</c:v>
                </c:pt>
                <c:pt idx="177">
                  <c:v>442</c:v>
                </c:pt>
                <c:pt idx="178">
                  <c:v>443</c:v>
                </c:pt>
                <c:pt idx="179">
                  <c:v>440</c:v>
                </c:pt>
                <c:pt idx="180">
                  <c:v>440</c:v>
                </c:pt>
                <c:pt idx="181">
                  <c:v>440</c:v>
                </c:pt>
                <c:pt idx="182">
                  <c:v>412</c:v>
                </c:pt>
                <c:pt idx="183">
                  <c:v>383</c:v>
                </c:pt>
                <c:pt idx="184">
                  <c:v>357</c:v>
                </c:pt>
                <c:pt idx="185">
                  <c:v>328</c:v>
                </c:pt>
                <c:pt idx="186">
                  <c:v>301</c:v>
                </c:pt>
                <c:pt idx="187">
                  <c:v>146</c:v>
                </c:pt>
                <c:pt idx="188">
                  <c:v>146</c:v>
                </c:pt>
                <c:pt idx="189">
                  <c:v>127</c:v>
                </c:pt>
                <c:pt idx="190">
                  <c:v>129</c:v>
                </c:pt>
                <c:pt idx="191">
                  <c:v>126</c:v>
                </c:pt>
                <c:pt idx="192">
                  <c:v>121</c:v>
                </c:pt>
                <c:pt idx="193">
                  <c:v>128</c:v>
                </c:pt>
                <c:pt idx="194">
                  <c:v>0</c:v>
                </c:pt>
                <c:pt idx="1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B-46A3-A304-9F21006DD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891839"/>
        <c:axId val="288892671"/>
      </c:lineChart>
      <c:catAx>
        <c:axId val="288891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</a:t>
                </a:r>
                <a:r>
                  <a:rPr lang="en-GB" baseline="0"/>
                  <a:t> of season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2671"/>
        <c:crosses val="autoZero"/>
        <c:auto val="1"/>
        <c:lblAlgn val="ctr"/>
        <c:lblOffset val="100"/>
        <c:noMultiLvlLbl val="0"/>
      </c:catAx>
      <c:valAx>
        <c:axId val="2888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Log Pond Size (end) original vs current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'Predictive Modelling'!$J$18:$J$213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177</c:v>
                </c:pt>
                <c:pt idx="3">
                  <c:v>215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268</c:v>
                </c:pt>
                <c:pt idx="8">
                  <c:v>223</c:v>
                </c:pt>
                <c:pt idx="9">
                  <c:v>266</c:v>
                </c:pt>
                <c:pt idx="10">
                  <c:v>367</c:v>
                </c:pt>
                <c:pt idx="11">
                  <c:v>441</c:v>
                </c:pt>
                <c:pt idx="12">
                  <c:v>441</c:v>
                </c:pt>
                <c:pt idx="13">
                  <c:v>441</c:v>
                </c:pt>
                <c:pt idx="14">
                  <c:v>382</c:v>
                </c:pt>
                <c:pt idx="15">
                  <c:v>331</c:v>
                </c:pt>
                <c:pt idx="16">
                  <c:v>285</c:v>
                </c:pt>
                <c:pt idx="17">
                  <c:v>233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312</c:v>
                </c:pt>
                <c:pt idx="22">
                  <c:v>266</c:v>
                </c:pt>
                <c:pt idx="23">
                  <c:v>215</c:v>
                </c:pt>
                <c:pt idx="24">
                  <c:v>195</c:v>
                </c:pt>
                <c:pt idx="25">
                  <c:v>301</c:v>
                </c:pt>
                <c:pt idx="26">
                  <c:v>301</c:v>
                </c:pt>
                <c:pt idx="27">
                  <c:v>301</c:v>
                </c:pt>
                <c:pt idx="28">
                  <c:v>264</c:v>
                </c:pt>
                <c:pt idx="29">
                  <c:v>247</c:v>
                </c:pt>
                <c:pt idx="30">
                  <c:v>166</c:v>
                </c:pt>
                <c:pt idx="31">
                  <c:v>188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243</c:v>
                </c:pt>
                <c:pt idx="36">
                  <c:v>230</c:v>
                </c:pt>
                <c:pt idx="37">
                  <c:v>217</c:v>
                </c:pt>
                <c:pt idx="38">
                  <c:v>207</c:v>
                </c:pt>
                <c:pt idx="39">
                  <c:v>318</c:v>
                </c:pt>
                <c:pt idx="40">
                  <c:v>318</c:v>
                </c:pt>
                <c:pt idx="41">
                  <c:v>318</c:v>
                </c:pt>
                <c:pt idx="42">
                  <c:v>302</c:v>
                </c:pt>
                <c:pt idx="43">
                  <c:v>320</c:v>
                </c:pt>
                <c:pt idx="44">
                  <c:v>306</c:v>
                </c:pt>
                <c:pt idx="45">
                  <c:v>288</c:v>
                </c:pt>
                <c:pt idx="46">
                  <c:v>302</c:v>
                </c:pt>
                <c:pt idx="47">
                  <c:v>302</c:v>
                </c:pt>
                <c:pt idx="48">
                  <c:v>302</c:v>
                </c:pt>
                <c:pt idx="49">
                  <c:v>285</c:v>
                </c:pt>
                <c:pt idx="50">
                  <c:v>270</c:v>
                </c:pt>
                <c:pt idx="51">
                  <c:v>263</c:v>
                </c:pt>
                <c:pt idx="52">
                  <c:v>269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257</c:v>
                </c:pt>
                <c:pt idx="57">
                  <c:v>279</c:v>
                </c:pt>
                <c:pt idx="58">
                  <c:v>292</c:v>
                </c:pt>
                <c:pt idx="59">
                  <c:v>328</c:v>
                </c:pt>
                <c:pt idx="60">
                  <c:v>357</c:v>
                </c:pt>
                <c:pt idx="61">
                  <c:v>227</c:v>
                </c:pt>
                <c:pt idx="62">
                  <c:v>227</c:v>
                </c:pt>
                <c:pt idx="63">
                  <c:v>256</c:v>
                </c:pt>
                <c:pt idx="64">
                  <c:v>264</c:v>
                </c:pt>
                <c:pt idx="65">
                  <c:v>303</c:v>
                </c:pt>
                <c:pt idx="66">
                  <c:v>329</c:v>
                </c:pt>
                <c:pt idx="67">
                  <c:v>342</c:v>
                </c:pt>
                <c:pt idx="68">
                  <c:v>212</c:v>
                </c:pt>
                <c:pt idx="69">
                  <c:v>212</c:v>
                </c:pt>
                <c:pt idx="70">
                  <c:v>206</c:v>
                </c:pt>
                <c:pt idx="71">
                  <c:v>198</c:v>
                </c:pt>
                <c:pt idx="72">
                  <c:v>195</c:v>
                </c:pt>
                <c:pt idx="73">
                  <c:v>185</c:v>
                </c:pt>
                <c:pt idx="74">
                  <c:v>196</c:v>
                </c:pt>
                <c:pt idx="75">
                  <c:v>196</c:v>
                </c:pt>
                <c:pt idx="76">
                  <c:v>196</c:v>
                </c:pt>
                <c:pt idx="77">
                  <c:v>121</c:v>
                </c:pt>
                <c:pt idx="78">
                  <c:v>193</c:v>
                </c:pt>
                <c:pt idx="79">
                  <c:v>203</c:v>
                </c:pt>
                <c:pt idx="80">
                  <c:v>200</c:v>
                </c:pt>
                <c:pt idx="81">
                  <c:v>196</c:v>
                </c:pt>
                <c:pt idx="82">
                  <c:v>196</c:v>
                </c:pt>
                <c:pt idx="83">
                  <c:v>196</c:v>
                </c:pt>
                <c:pt idx="84">
                  <c:v>198</c:v>
                </c:pt>
                <c:pt idx="85">
                  <c:v>209</c:v>
                </c:pt>
                <c:pt idx="86">
                  <c:v>210</c:v>
                </c:pt>
                <c:pt idx="87">
                  <c:v>221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230</c:v>
                </c:pt>
                <c:pt idx="92">
                  <c:v>149</c:v>
                </c:pt>
                <c:pt idx="93">
                  <c:v>205</c:v>
                </c:pt>
                <c:pt idx="94">
                  <c:v>207</c:v>
                </c:pt>
                <c:pt idx="95">
                  <c:v>202</c:v>
                </c:pt>
                <c:pt idx="96">
                  <c:v>202</c:v>
                </c:pt>
                <c:pt idx="97">
                  <c:v>202</c:v>
                </c:pt>
                <c:pt idx="98">
                  <c:v>223</c:v>
                </c:pt>
                <c:pt idx="99">
                  <c:v>242</c:v>
                </c:pt>
                <c:pt idx="100">
                  <c:v>262</c:v>
                </c:pt>
                <c:pt idx="101">
                  <c:v>295</c:v>
                </c:pt>
                <c:pt idx="102">
                  <c:v>325</c:v>
                </c:pt>
                <c:pt idx="103">
                  <c:v>175</c:v>
                </c:pt>
                <c:pt idx="104">
                  <c:v>175</c:v>
                </c:pt>
                <c:pt idx="105">
                  <c:v>181</c:v>
                </c:pt>
                <c:pt idx="106">
                  <c:v>199</c:v>
                </c:pt>
                <c:pt idx="107">
                  <c:v>205</c:v>
                </c:pt>
                <c:pt idx="108">
                  <c:v>244</c:v>
                </c:pt>
                <c:pt idx="109">
                  <c:v>255</c:v>
                </c:pt>
                <c:pt idx="110">
                  <c:v>105</c:v>
                </c:pt>
                <c:pt idx="111">
                  <c:v>105</c:v>
                </c:pt>
                <c:pt idx="112">
                  <c:v>179</c:v>
                </c:pt>
                <c:pt idx="113">
                  <c:v>194</c:v>
                </c:pt>
                <c:pt idx="114">
                  <c:v>215</c:v>
                </c:pt>
                <c:pt idx="115">
                  <c:v>216</c:v>
                </c:pt>
                <c:pt idx="116">
                  <c:v>237</c:v>
                </c:pt>
                <c:pt idx="117">
                  <c:v>237</c:v>
                </c:pt>
                <c:pt idx="118">
                  <c:v>237</c:v>
                </c:pt>
                <c:pt idx="119">
                  <c:v>264</c:v>
                </c:pt>
                <c:pt idx="120">
                  <c:v>266</c:v>
                </c:pt>
                <c:pt idx="121">
                  <c:v>285</c:v>
                </c:pt>
                <c:pt idx="122">
                  <c:v>294</c:v>
                </c:pt>
                <c:pt idx="123">
                  <c:v>299</c:v>
                </c:pt>
                <c:pt idx="124">
                  <c:v>299</c:v>
                </c:pt>
                <c:pt idx="125">
                  <c:v>299</c:v>
                </c:pt>
                <c:pt idx="126">
                  <c:v>327</c:v>
                </c:pt>
                <c:pt idx="127">
                  <c:v>358</c:v>
                </c:pt>
                <c:pt idx="128">
                  <c:v>396</c:v>
                </c:pt>
                <c:pt idx="129">
                  <c:v>432</c:v>
                </c:pt>
                <c:pt idx="130">
                  <c:v>472</c:v>
                </c:pt>
                <c:pt idx="131">
                  <c:v>322</c:v>
                </c:pt>
                <c:pt idx="132">
                  <c:v>322</c:v>
                </c:pt>
                <c:pt idx="133">
                  <c:v>357</c:v>
                </c:pt>
                <c:pt idx="134">
                  <c:v>397</c:v>
                </c:pt>
                <c:pt idx="135">
                  <c:v>422</c:v>
                </c:pt>
                <c:pt idx="136">
                  <c:v>457</c:v>
                </c:pt>
                <c:pt idx="137">
                  <c:v>482</c:v>
                </c:pt>
                <c:pt idx="138">
                  <c:v>332</c:v>
                </c:pt>
                <c:pt idx="139">
                  <c:v>332</c:v>
                </c:pt>
                <c:pt idx="140">
                  <c:v>323</c:v>
                </c:pt>
                <c:pt idx="141">
                  <c:v>326</c:v>
                </c:pt>
                <c:pt idx="142">
                  <c:v>324</c:v>
                </c:pt>
                <c:pt idx="143">
                  <c:v>329</c:v>
                </c:pt>
                <c:pt idx="144">
                  <c:v>340</c:v>
                </c:pt>
                <c:pt idx="145">
                  <c:v>340</c:v>
                </c:pt>
                <c:pt idx="146">
                  <c:v>340</c:v>
                </c:pt>
                <c:pt idx="147">
                  <c:v>340</c:v>
                </c:pt>
                <c:pt idx="148">
                  <c:v>346</c:v>
                </c:pt>
                <c:pt idx="149">
                  <c:v>344</c:v>
                </c:pt>
                <c:pt idx="150">
                  <c:v>337</c:v>
                </c:pt>
                <c:pt idx="151">
                  <c:v>324</c:v>
                </c:pt>
                <c:pt idx="152">
                  <c:v>324</c:v>
                </c:pt>
                <c:pt idx="153">
                  <c:v>324</c:v>
                </c:pt>
                <c:pt idx="154">
                  <c:v>324</c:v>
                </c:pt>
                <c:pt idx="155">
                  <c:v>326</c:v>
                </c:pt>
                <c:pt idx="156">
                  <c:v>349</c:v>
                </c:pt>
                <c:pt idx="157">
                  <c:v>361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389</c:v>
                </c:pt>
                <c:pt idx="162">
                  <c:v>393</c:v>
                </c:pt>
                <c:pt idx="163">
                  <c:v>401</c:v>
                </c:pt>
                <c:pt idx="164">
                  <c:v>420</c:v>
                </c:pt>
                <c:pt idx="165">
                  <c:v>431</c:v>
                </c:pt>
                <c:pt idx="166">
                  <c:v>431</c:v>
                </c:pt>
                <c:pt idx="167">
                  <c:v>431</c:v>
                </c:pt>
                <c:pt idx="168">
                  <c:v>436</c:v>
                </c:pt>
                <c:pt idx="169">
                  <c:v>440</c:v>
                </c:pt>
                <c:pt idx="170">
                  <c:v>437</c:v>
                </c:pt>
                <c:pt idx="171">
                  <c:v>439</c:v>
                </c:pt>
                <c:pt idx="172">
                  <c:v>443</c:v>
                </c:pt>
                <c:pt idx="173">
                  <c:v>443</c:v>
                </c:pt>
                <c:pt idx="174">
                  <c:v>443</c:v>
                </c:pt>
                <c:pt idx="175">
                  <c:v>438</c:v>
                </c:pt>
                <c:pt idx="176">
                  <c:v>440</c:v>
                </c:pt>
                <c:pt idx="177">
                  <c:v>442</c:v>
                </c:pt>
                <c:pt idx="178">
                  <c:v>443</c:v>
                </c:pt>
                <c:pt idx="179">
                  <c:v>440</c:v>
                </c:pt>
                <c:pt idx="180">
                  <c:v>440</c:v>
                </c:pt>
                <c:pt idx="181">
                  <c:v>440</c:v>
                </c:pt>
                <c:pt idx="182">
                  <c:v>412</c:v>
                </c:pt>
                <c:pt idx="183">
                  <c:v>383</c:v>
                </c:pt>
                <c:pt idx="184">
                  <c:v>357</c:v>
                </c:pt>
                <c:pt idx="185">
                  <c:v>328</c:v>
                </c:pt>
                <c:pt idx="186">
                  <c:v>301</c:v>
                </c:pt>
                <c:pt idx="187">
                  <c:v>146</c:v>
                </c:pt>
                <c:pt idx="188">
                  <c:v>146</c:v>
                </c:pt>
                <c:pt idx="189">
                  <c:v>127</c:v>
                </c:pt>
                <c:pt idx="190">
                  <c:v>129</c:v>
                </c:pt>
                <c:pt idx="191">
                  <c:v>126</c:v>
                </c:pt>
                <c:pt idx="192">
                  <c:v>121</c:v>
                </c:pt>
                <c:pt idx="193">
                  <c:v>128</c:v>
                </c:pt>
                <c:pt idx="194">
                  <c:v>0</c:v>
                </c:pt>
                <c:pt idx="1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90-41DB-9431-90BB174F3B4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'Predictive Modelling'!$BB$18:$BB$213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95</c:v>
                </c:pt>
                <c:pt idx="3">
                  <c:v>38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143</c:v>
                </c:pt>
                <c:pt idx="8">
                  <c:v>98</c:v>
                </c:pt>
                <c:pt idx="9">
                  <c:v>43</c:v>
                </c:pt>
                <c:pt idx="10">
                  <c:v>101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116</c:v>
                </c:pt>
                <c:pt idx="15">
                  <c:v>79</c:v>
                </c:pt>
                <c:pt idx="16">
                  <c:v>84</c:v>
                </c:pt>
                <c:pt idx="17">
                  <c:v>78</c:v>
                </c:pt>
                <c:pt idx="18">
                  <c:v>185</c:v>
                </c:pt>
                <c:pt idx="19">
                  <c:v>185</c:v>
                </c:pt>
                <c:pt idx="20">
                  <c:v>185</c:v>
                </c:pt>
                <c:pt idx="21">
                  <c:v>157</c:v>
                </c:pt>
                <c:pt idx="22">
                  <c:v>111</c:v>
                </c:pt>
                <c:pt idx="23">
                  <c:v>79</c:v>
                </c:pt>
                <c:pt idx="24">
                  <c:v>110</c:v>
                </c:pt>
                <c:pt idx="25">
                  <c:v>216</c:v>
                </c:pt>
                <c:pt idx="26">
                  <c:v>216</c:v>
                </c:pt>
                <c:pt idx="27">
                  <c:v>216</c:v>
                </c:pt>
                <c:pt idx="28">
                  <c:v>179</c:v>
                </c:pt>
                <c:pt idx="29">
                  <c:v>162</c:v>
                </c:pt>
                <c:pt idx="30">
                  <c:v>81</c:v>
                </c:pt>
                <c:pt idx="31">
                  <c:v>152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144</c:v>
                </c:pt>
                <c:pt idx="36">
                  <c:v>131</c:v>
                </c:pt>
                <c:pt idx="37">
                  <c:v>118</c:v>
                </c:pt>
                <c:pt idx="38">
                  <c:v>120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114</c:v>
                </c:pt>
                <c:pt idx="43">
                  <c:v>148</c:v>
                </c:pt>
                <c:pt idx="44">
                  <c:v>134</c:v>
                </c:pt>
                <c:pt idx="45">
                  <c:v>116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127</c:v>
                </c:pt>
                <c:pt idx="50">
                  <c:v>115</c:v>
                </c:pt>
                <c:pt idx="51">
                  <c:v>123</c:v>
                </c:pt>
                <c:pt idx="52">
                  <c:v>136</c:v>
                </c:pt>
                <c:pt idx="53">
                  <c:v>117</c:v>
                </c:pt>
                <c:pt idx="54">
                  <c:v>117</c:v>
                </c:pt>
                <c:pt idx="55">
                  <c:v>117</c:v>
                </c:pt>
                <c:pt idx="56">
                  <c:v>137</c:v>
                </c:pt>
                <c:pt idx="57">
                  <c:v>159</c:v>
                </c:pt>
                <c:pt idx="58">
                  <c:v>172</c:v>
                </c:pt>
                <c:pt idx="59">
                  <c:v>208</c:v>
                </c:pt>
                <c:pt idx="60">
                  <c:v>237</c:v>
                </c:pt>
                <c:pt idx="61">
                  <c:v>237</c:v>
                </c:pt>
                <c:pt idx="62">
                  <c:v>237</c:v>
                </c:pt>
                <c:pt idx="63">
                  <c:v>266</c:v>
                </c:pt>
                <c:pt idx="64">
                  <c:v>274</c:v>
                </c:pt>
                <c:pt idx="65">
                  <c:v>313</c:v>
                </c:pt>
                <c:pt idx="66">
                  <c:v>339</c:v>
                </c:pt>
                <c:pt idx="67">
                  <c:v>352</c:v>
                </c:pt>
                <c:pt idx="68">
                  <c:v>352</c:v>
                </c:pt>
                <c:pt idx="69">
                  <c:v>352</c:v>
                </c:pt>
                <c:pt idx="70">
                  <c:v>346</c:v>
                </c:pt>
                <c:pt idx="71">
                  <c:v>338</c:v>
                </c:pt>
                <c:pt idx="72">
                  <c:v>335</c:v>
                </c:pt>
                <c:pt idx="73">
                  <c:v>325</c:v>
                </c:pt>
                <c:pt idx="74">
                  <c:v>336</c:v>
                </c:pt>
                <c:pt idx="75">
                  <c:v>336</c:v>
                </c:pt>
                <c:pt idx="76">
                  <c:v>336</c:v>
                </c:pt>
                <c:pt idx="77">
                  <c:v>261</c:v>
                </c:pt>
                <c:pt idx="78">
                  <c:v>304</c:v>
                </c:pt>
                <c:pt idx="79">
                  <c:v>314</c:v>
                </c:pt>
                <c:pt idx="80">
                  <c:v>311</c:v>
                </c:pt>
                <c:pt idx="81">
                  <c:v>307</c:v>
                </c:pt>
                <c:pt idx="82">
                  <c:v>307</c:v>
                </c:pt>
                <c:pt idx="83">
                  <c:v>307</c:v>
                </c:pt>
                <c:pt idx="84">
                  <c:v>309</c:v>
                </c:pt>
                <c:pt idx="85">
                  <c:v>320</c:v>
                </c:pt>
                <c:pt idx="86">
                  <c:v>321</c:v>
                </c:pt>
                <c:pt idx="87">
                  <c:v>332</c:v>
                </c:pt>
                <c:pt idx="88">
                  <c:v>351</c:v>
                </c:pt>
                <c:pt idx="89">
                  <c:v>351</c:v>
                </c:pt>
                <c:pt idx="90">
                  <c:v>351</c:v>
                </c:pt>
                <c:pt idx="91">
                  <c:v>341</c:v>
                </c:pt>
                <c:pt idx="92">
                  <c:v>260</c:v>
                </c:pt>
                <c:pt idx="93">
                  <c:v>315</c:v>
                </c:pt>
                <c:pt idx="94">
                  <c:v>317</c:v>
                </c:pt>
                <c:pt idx="95">
                  <c:v>312</c:v>
                </c:pt>
                <c:pt idx="96">
                  <c:v>312</c:v>
                </c:pt>
                <c:pt idx="97">
                  <c:v>312</c:v>
                </c:pt>
                <c:pt idx="98">
                  <c:v>333</c:v>
                </c:pt>
                <c:pt idx="99">
                  <c:v>352</c:v>
                </c:pt>
                <c:pt idx="100">
                  <c:v>372</c:v>
                </c:pt>
                <c:pt idx="101">
                  <c:v>405</c:v>
                </c:pt>
                <c:pt idx="102">
                  <c:v>435</c:v>
                </c:pt>
                <c:pt idx="103">
                  <c:v>435</c:v>
                </c:pt>
                <c:pt idx="104">
                  <c:v>435</c:v>
                </c:pt>
                <c:pt idx="105">
                  <c:v>441</c:v>
                </c:pt>
                <c:pt idx="106">
                  <c:v>459</c:v>
                </c:pt>
                <c:pt idx="107">
                  <c:v>465</c:v>
                </c:pt>
                <c:pt idx="108">
                  <c:v>504</c:v>
                </c:pt>
                <c:pt idx="109">
                  <c:v>515</c:v>
                </c:pt>
                <c:pt idx="110">
                  <c:v>515</c:v>
                </c:pt>
                <c:pt idx="111">
                  <c:v>515</c:v>
                </c:pt>
                <c:pt idx="112">
                  <c:v>544</c:v>
                </c:pt>
                <c:pt idx="113">
                  <c:v>559</c:v>
                </c:pt>
                <c:pt idx="114">
                  <c:v>580</c:v>
                </c:pt>
                <c:pt idx="115">
                  <c:v>581</c:v>
                </c:pt>
                <c:pt idx="116">
                  <c:v>602</c:v>
                </c:pt>
                <c:pt idx="117">
                  <c:v>602</c:v>
                </c:pt>
                <c:pt idx="118">
                  <c:v>602</c:v>
                </c:pt>
                <c:pt idx="119">
                  <c:v>629</c:v>
                </c:pt>
                <c:pt idx="120">
                  <c:v>631</c:v>
                </c:pt>
                <c:pt idx="121">
                  <c:v>650</c:v>
                </c:pt>
                <c:pt idx="122">
                  <c:v>659</c:v>
                </c:pt>
                <c:pt idx="123">
                  <c:v>664</c:v>
                </c:pt>
                <c:pt idx="124">
                  <c:v>664</c:v>
                </c:pt>
                <c:pt idx="125">
                  <c:v>664</c:v>
                </c:pt>
                <c:pt idx="126">
                  <c:v>692</c:v>
                </c:pt>
                <c:pt idx="127">
                  <c:v>723</c:v>
                </c:pt>
                <c:pt idx="128">
                  <c:v>761</c:v>
                </c:pt>
                <c:pt idx="129">
                  <c:v>797</c:v>
                </c:pt>
                <c:pt idx="130">
                  <c:v>837</c:v>
                </c:pt>
                <c:pt idx="131">
                  <c:v>837</c:v>
                </c:pt>
                <c:pt idx="132">
                  <c:v>837</c:v>
                </c:pt>
                <c:pt idx="133">
                  <c:v>872</c:v>
                </c:pt>
                <c:pt idx="134">
                  <c:v>912</c:v>
                </c:pt>
                <c:pt idx="135">
                  <c:v>937</c:v>
                </c:pt>
                <c:pt idx="136">
                  <c:v>972</c:v>
                </c:pt>
                <c:pt idx="137">
                  <c:v>997</c:v>
                </c:pt>
                <c:pt idx="138">
                  <c:v>997</c:v>
                </c:pt>
                <c:pt idx="139">
                  <c:v>997</c:v>
                </c:pt>
                <c:pt idx="140">
                  <c:v>988</c:v>
                </c:pt>
                <c:pt idx="141">
                  <c:v>991</c:v>
                </c:pt>
                <c:pt idx="142">
                  <c:v>989</c:v>
                </c:pt>
                <c:pt idx="143">
                  <c:v>994</c:v>
                </c:pt>
                <c:pt idx="144">
                  <c:v>1005</c:v>
                </c:pt>
                <c:pt idx="145">
                  <c:v>1005</c:v>
                </c:pt>
                <c:pt idx="146">
                  <c:v>1005</c:v>
                </c:pt>
                <c:pt idx="147">
                  <c:v>1005</c:v>
                </c:pt>
                <c:pt idx="148">
                  <c:v>1011</c:v>
                </c:pt>
                <c:pt idx="149">
                  <c:v>1009</c:v>
                </c:pt>
                <c:pt idx="150">
                  <c:v>1002</c:v>
                </c:pt>
                <c:pt idx="151">
                  <c:v>989</c:v>
                </c:pt>
                <c:pt idx="152">
                  <c:v>989</c:v>
                </c:pt>
                <c:pt idx="153">
                  <c:v>989</c:v>
                </c:pt>
                <c:pt idx="154">
                  <c:v>989</c:v>
                </c:pt>
                <c:pt idx="155">
                  <c:v>991</c:v>
                </c:pt>
                <c:pt idx="156">
                  <c:v>1014</c:v>
                </c:pt>
                <c:pt idx="157">
                  <c:v>1026</c:v>
                </c:pt>
                <c:pt idx="158">
                  <c:v>1039</c:v>
                </c:pt>
                <c:pt idx="159">
                  <c:v>1039</c:v>
                </c:pt>
                <c:pt idx="160">
                  <c:v>1039</c:v>
                </c:pt>
                <c:pt idx="161">
                  <c:v>1054</c:v>
                </c:pt>
                <c:pt idx="162">
                  <c:v>1058</c:v>
                </c:pt>
                <c:pt idx="163">
                  <c:v>1066</c:v>
                </c:pt>
                <c:pt idx="164">
                  <c:v>1085</c:v>
                </c:pt>
                <c:pt idx="165">
                  <c:v>1096</c:v>
                </c:pt>
                <c:pt idx="166">
                  <c:v>1096</c:v>
                </c:pt>
                <c:pt idx="167">
                  <c:v>1096</c:v>
                </c:pt>
                <c:pt idx="168">
                  <c:v>1101</c:v>
                </c:pt>
                <c:pt idx="169">
                  <c:v>1105</c:v>
                </c:pt>
                <c:pt idx="170">
                  <c:v>1102</c:v>
                </c:pt>
                <c:pt idx="171">
                  <c:v>1104</c:v>
                </c:pt>
                <c:pt idx="172">
                  <c:v>1108</c:v>
                </c:pt>
                <c:pt idx="173">
                  <c:v>953</c:v>
                </c:pt>
                <c:pt idx="174">
                  <c:v>953</c:v>
                </c:pt>
                <c:pt idx="175">
                  <c:v>948</c:v>
                </c:pt>
                <c:pt idx="176">
                  <c:v>950</c:v>
                </c:pt>
                <c:pt idx="177">
                  <c:v>952</c:v>
                </c:pt>
                <c:pt idx="178">
                  <c:v>953</c:v>
                </c:pt>
                <c:pt idx="179">
                  <c:v>950</c:v>
                </c:pt>
                <c:pt idx="180">
                  <c:v>795</c:v>
                </c:pt>
                <c:pt idx="181">
                  <c:v>795</c:v>
                </c:pt>
                <c:pt idx="182">
                  <c:v>767</c:v>
                </c:pt>
                <c:pt idx="183">
                  <c:v>738</c:v>
                </c:pt>
                <c:pt idx="184">
                  <c:v>712</c:v>
                </c:pt>
                <c:pt idx="185">
                  <c:v>683</c:v>
                </c:pt>
                <c:pt idx="186">
                  <c:v>656</c:v>
                </c:pt>
                <c:pt idx="187">
                  <c:v>501</c:v>
                </c:pt>
                <c:pt idx="188">
                  <c:v>501</c:v>
                </c:pt>
                <c:pt idx="189">
                  <c:v>473</c:v>
                </c:pt>
                <c:pt idx="190">
                  <c:v>447</c:v>
                </c:pt>
                <c:pt idx="191">
                  <c:v>418</c:v>
                </c:pt>
                <c:pt idx="192">
                  <c:v>384</c:v>
                </c:pt>
                <c:pt idx="193">
                  <c:v>357</c:v>
                </c:pt>
                <c:pt idx="194">
                  <c:v>202</c:v>
                </c:pt>
                <c:pt idx="195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90-41DB-9431-90BB174F3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315775"/>
        <c:axId val="828336159"/>
      </c:lineChart>
      <c:catAx>
        <c:axId val="8283157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336159"/>
        <c:crosses val="autoZero"/>
        <c:auto val="1"/>
        <c:lblAlgn val="ctr"/>
        <c:lblOffset val="100"/>
        <c:noMultiLvlLbl val="0"/>
      </c:catAx>
      <c:valAx>
        <c:axId val="82833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31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</a:t>
            </a:r>
            <a:r>
              <a:rPr lang="en-GB" baseline="0"/>
              <a:t> Pond Size (end) during the 196 day season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data!$J$11:$J$206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95</c:v>
                </c:pt>
                <c:pt idx="3">
                  <c:v>38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143</c:v>
                </c:pt>
                <c:pt idx="8">
                  <c:v>106</c:v>
                </c:pt>
                <c:pt idx="9">
                  <c:v>43</c:v>
                </c:pt>
                <c:pt idx="10">
                  <c:v>101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118</c:v>
                </c:pt>
                <c:pt idx="15">
                  <c:v>79</c:v>
                </c:pt>
                <c:pt idx="16">
                  <c:v>84</c:v>
                </c:pt>
                <c:pt idx="17">
                  <c:v>78</c:v>
                </c:pt>
                <c:pt idx="18">
                  <c:v>185</c:v>
                </c:pt>
                <c:pt idx="19">
                  <c:v>185</c:v>
                </c:pt>
                <c:pt idx="20">
                  <c:v>185</c:v>
                </c:pt>
                <c:pt idx="21">
                  <c:v>161</c:v>
                </c:pt>
                <c:pt idx="22">
                  <c:v>125</c:v>
                </c:pt>
                <c:pt idx="23">
                  <c:v>82</c:v>
                </c:pt>
                <c:pt idx="24">
                  <c:v>113</c:v>
                </c:pt>
                <c:pt idx="25">
                  <c:v>219</c:v>
                </c:pt>
                <c:pt idx="26">
                  <c:v>219</c:v>
                </c:pt>
                <c:pt idx="27">
                  <c:v>219</c:v>
                </c:pt>
                <c:pt idx="28">
                  <c:v>171</c:v>
                </c:pt>
                <c:pt idx="29">
                  <c:v>153</c:v>
                </c:pt>
                <c:pt idx="30">
                  <c:v>60</c:v>
                </c:pt>
                <c:pt idx="31">
                  <c:v>152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144</c:v>
                </c:pt>
                <c:pt idx="36">
                  <c:v>117</c:v>
                </c:pt>
                <c:pt idx="37">
                  <c:v>117</c:v>
                </c:pt>
                <c:pt idx="38">
                  <c:v>120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114</c:v>
                </c:pt>
                <c:pt idx="43">
                  <c:v>148</c:v>
                </c:pt>
                <c:pt idx="44">
                  <c:v>116</c:v>
                </c:pt>
                <c:pt idx="45">
                  <c:v>112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200</c:v>
                </c:pt>
                <c:pt idx="50">
                  <c:v>181</c:v>
                </c:pt>
                <c:pt idx="51">
                  <c:v>160</c:v>
                </c:pt>
                <c:pt idx="52">
                  <c:v>176</c:v>
                </c:pt>
                <c:pt idx="53">
                  <c:v>127</c:v>
                </c:pt>
                <c:pt idx="54">
                  <c:v>127</c:v>
                </c:pt>
                <c:pt idx="55">
                  <c:v>127</c:v>
                </c:pt>
                <c:pt idx="56">
                  <c:v>138</c:v>
                </c:pt>
                <c:pt idx="57">
                  <c:v>152</c:v>
                </c:pt>
                <c:pt idx="58">
                  <c:v>149</c:v>
                </c:pt>
                <c:pt idx="59">
                  <c:v>166</c:v>
                </c:pt>
                <c:pt idx="60">
                  <c:v>186</c:v>
                </c:pt>
                <c:pt idx="61">
                  <c:v>186</c:v>
                </c:pt>
                <c:pt idx="62">
                  <c:v>186</c:v>
                </c:pt>
                <c:pt idx="63">
                  <c:v>198</c:v>
                </c:pt>
                <c:pt idx="64">
                  <c:v>200</c:v>
                </c:pt>
                <c:pt idx="65">
                  <c:v>213</c:v>
                </c:pt>
                <c:pt idx="66">
                  <c:v>297</c:v>
                </c:pt>
                <c:pt idx="67">
                  <c:v>285</c:v>
                </c:pt>
                <c:pt idx="68">
                  <c:v>285</c:v>
                </c:pt>
                <c:pt idx="69">
                  <c:v>285</c:v>
                </c:pt>
                <c:pt idx="70">
                  <c:v>269</c:v>
                </c:pt>
                <c:pt idx="71">
                  <c:v>258</c:v>
                </c:pt>
                <c:pt idx="72">
                  <c:v>244</c:v>
                </c:pt>
                <c:pt idx="73">
                  <c:v>255</c:v>
                </c:pt>
                <c:pt idx="74">
                  <c:v>268</c:v>
                </c:pt>
                <c:pt idx="75">
                  <c:v>268</c:v>
                </c:pt>
                <c:pt idx="76">
                  <c:v>268</c:v>
                </c:pt>
                <c:pt idx="77">
                  <c:v>197</c:v>
                </c:pt>
                <c:pt idx="78">
                  <c:v>257</c:v>
                </c:pt>
                <c:pt idx="79">
                  <c:v>263</c:v>
                </c:pt>
                <c:pt idx="80">
                  <c:v>250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389</c:v>
                </c:pt>
                <c:pt idx="85">
                  <c:v>390</c:v>
                </c:pt>
                <c:pt idx="86">
                  <c:v>386</c:v>
                </c:pt>
                <c:pt idx="87">
                  <c:v>388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373</c:v>
                </c:pt>
                <c:pt idx="92">
                  <c:v>284</c:v>
                </c:pt>
                <c:pt idx="93">
                  <c:v>326</c:v>
                </c:pt>
                <c:pt idx="94">
                  <c:v>314</c:v>
                </c:pt>
                <c:pt idx="95">
                  <c:v>315</c:v>
                </c:pt>
                <c:pt idx="96">
                  <c:v>315</c:v>
                </c:pt>
                <c:pt idx="97">
                  <c:v>315</c:v>
                </c:pt>
                <c:pt idx="98">
                  <c:v>323</c:v>
                </c:pt>
                <c:pt idx="99">
                  <c:v>332</c:v>
                </c:pt>
                <c:pt idx="100">
                  <c:v>361</c:v>
                </c:pt>
                <c:pt idx="101">
                  <c:v>400</c:v>
                </c:pt>
                <c:pt idx="102">
                  <c:v>424</c:v>
                </c:pt>
                <c:pt idx="103">
                  <c:v>424</c:v>
                </c:pt>
                <c:pt idx="104">
                  <c:v>424</c:v>
                </c:pt>
                <c:pt idx="105">
                  <c:v>438</c:v>
                </c:pt>
                <c:pt idx="106">
                  <c:v>453</c:v>
                </c:pt>
                <c:pt idx="107">
                  <c:v>448</c:v>
                </c:pt>
                <c:pt idx="108">
                  <c:v>484</c:v>
                </c:pt>
                <c:pt idx="109">
                  <c:v>495</c:v>
                </c:pt>
                <c:pt idx="110">
                  <c:v>495</c:v>
                </c:pt>
                <c:pt idx="111">
                  <c:v>495</c:v>
                </c:pt>
                <c:pt idx="112">
                  <c:v>520</c:v>
                </c:pt>
                <c:pt idx="113">
                  <c:v>543</c:v>
                </c:pt>
                <c:pt idx="114">
                  <c:v>562</c:v>
                </c:pt>
                <c:pt idx="115">
                  <c:v>550</c:v>
                </c:pt>
                <c:pt idx="116">
                  <c:v>563</c:v>
                </c:pt>
                <c:pt idx="117">
                  <c:v>563</c:v>
                </c:pt>
                <c:pt idx="118">
                  <c:v>563</c:v>
                </c:pt>
                <c:pt idx="119">
                  <c:v>593</c:v>
                </c:pt>
                <c:pt idx="120">
                  <c:v>581</c:v>
                </c:pt>
                <c:pt idx="121">
                  <c:v>594</c:v>
                </c:pt>
                <c:pt idx="122">
                  <c:v>612</c:v>
                </c:pt>
                <c:pt idx="123">
                  <c:v>612</c:v>
                </c:pt>
                <c:pt idx="124">
                  <c:v>612</c:v>
                </c:pt>
                <c:pt idx="125">
                  <c:v>612</c:v>
                </c:pt>
                <c:pt idx="126">
                  <c:v>635</c:v>
                </c:pt>
                <c:pt idx="127">
                  <c:v>658</c:v>
                </c:pt>
                <c:pt idx="128">
                  <c:v>699</c:v>
                </c:pt>
                <c:pt idx="129">
                  <c:v>738</c:v>
                </c:pt>
                <c:pt idx="130">
                  <c:v>767</c:v>
                </c:pt>
                <c:pt idx="131">
                  <c:v>767</c:v>
                </c:pt>
                <c:pt idx="132">
                  <c:v>767</c:v>
                </c:pt>
                <c:pt idx="133">
                  <c:v>812</c:v>
                </c:pt>
                <c:pt idx="134">
                  <c:v>849</c:v>
                </c:pt>
                <c:pt idx="135">
                  <c:v>873</c:v>
                </c:pt>
                <c:pt idx="136">
                  <c:v>916</c:v>
                </c:pt>
                <c:pt idx="137">
                  <c:v>926</c:v>
                </c:pt>
                <c:pt idx="138">
                  <c:v>926</c:v>
                </c:pt>
                <c:pt idx="139">
                  <c:v>926</c:v>
                </c:pt>
                <c:pt idx="140">
                  <c:v>924</c:v>
                </c:pt>
                <c:pt idx="141">
                  <c:v>919</c:v>
                </c:pt>
                <c:pt idx="142">
                  <c:v>922</c:v>
                </c:pt>
                <c:pt idx="143">
                  <c:v>923</c:v>
                </c:pt>
                <c:pt idx="144">
                  <c:v>924</c:v>
                </c:pt>
                <c:pt idx="145">
                  <c:v>924</c:v>
                </c:pt>
                <c:pt idx="146">
                  <c:v>924</c:v>
                </c:pt>
                <c:pt idx="147">
                  <c:v>929</c:v>
                </c:pt>
                <c:pt idx="148">
                  <c:v>948</c:v>
                </c:pt>
                <c:pt idx="149">
                  <c:v>959</c:v>
                </c:pt>
                <c:pt idx="150">
                  <c:v>947</c:v>
                </c:pt>
                <c:pt idx="151">
                  <c:v>928</c:v>
                </c:pt>
                <c:pt idx="152">
                  <c:v>928</c:v>
                </c:pt>
                <c:pt idx="153">
                  <c:v>928</c:v>
                </c:pt>
                <c:pt idx="154">
                  <c:v>940</c:v>
                </c:pt>
                <c:pt idx="155">
                  <c:v>945</c:v>
                </c:pt>
                <c:pt idx="156">
                  <c:v>969</c:v>
                </c:pt>
                <c:pt idx="157">
                  <c:v>983</c:v>
                </c:pt>
                <c:pt idx="158">
                  <c:v>988</c:v>
                </c:pt>
                <c:pt idx="159">
                  <c:v>988</c:v>
                </c:pt>
                <c:pt idx="160">
                  <c:v>988</c:v>
                </c:pt>
                <c:pt idx="161">
                  <c:v>998</c:v>
                </c:pt>
                <c:pt idx="162">
                  <c:v>1011</c:v>
                </c:pt>
                <c:pt idx="163">
                  <c:v>1089</c:v>
                </c:pt>
                <c:pt idx="164">
                  <c:v>1099</c:v>
                </c:pt>
                <c:pt idx="165">
                  <c:v>1118</c:v>
                </c:pt>
                <c:pt idx="166">
                  <c:v>1118</c:v>
                </c:pt>
                <c:pt idx="167">
                  <c:v>1118</c:v>
                </c:pt>
                <c:pt idx="168">
                  <c:v>1132</c:v>
                </c:pt>
                <c:pt idx="169">
                  <c:v>1149</c:v>
                </c:pt>
                <c:pt idx="170">
                  <c:v>1148</c:v>
                </c:pt>
                <c:pt idx="171">
                  <c:v>1162</c:v>
                </c:pt>
                <c:pt idx="172">
                  <c:v>1173</c:v>
                </c:pt>
                <c:pt idx="173">
                  <c:v>1021</c:v>
                </c:pt>
                <c:pt idx="174">
                  <c:v>1021</c:v>
                </c:pt>
                <c:pt idx="175">
                  <c:v>1072</c:v>
                </c:pt>
                <c:pt idx="176">
                  <c:v>1075</c:v>
                </c:pt>
                <c:pt idx="177">
                  <c:v>1067</c:v>
                </c:pt>
                <c:pt idx="178">
                  <c:v>1079</c:v>
                </c:pt>
                <c:pt idx="179">
                  <c:v>1071</c:v>
                </c:pt>
                <c:pt idx="180">
                  <c:v>918</c:v>
                </c:pt>
                <c:pt idx="181">
                  <c:v>918</c:v>
                </c:pt>
                <c:pt idx="182">
                  <c:v>890</c:v>
                </c:pt>
                <c:pt idx="183">
                  <c:v>873</c:v>
                </c:pt>
                <c:pt idx="184">
                  <c:v>859</c:v>
                </c:pt>
                <c:pt idx="185">
                  <c:v>841</c:v>
                </c:pt>
                <c:pt idx="186">
                  <c:v>810</c:v>
                </c:pt>
                <c:pt idx="187">
                  <c:v>663</c:v>
                </c:pt>
                <c:pt idx="188">
                  <c:v>663</c:v>
                </c:pt>
                <c:pt idx="189">
                  <c:v>644</c:v>
                </c:pt>
                <c:pt idx="190">
                  <c:v>612</c:v>
                </c:pt>
                <c:pt idx="191">
                  <c:v>573</c:v>
                </c:pt>
                <c:pt idx="192">
                  <c:v>546</c:v>
                </c:pt>
                <c:pt idx="193">
                  <c:v>521</c:v>
                </c:pt>
                <c:pt idx="194">
                  <c:v>364</c:v>
                </c:pt>
                <c:pt idx="195">
                  <c:v>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7-4149-9305-53FDAC033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891839"/>
        <c:axId val="288892671"/>
      </c:lineChart>
      <c:catAx>
        <c:axId val="288891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</a:t>
                </a:r>
                <a:r>
                  <a:rPr lang="en-GB" baseline="0"/>
                  <a:t> of season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2671"/>
        <c:crosses val="autoZero"/>
        <c:auto val="1"/>
        <c:lblAlgn val="ctr"/>
        <c:lblOffset val="100"/>
        <c:noMultiLvlLbl val="0"/>
      </c:catAx>
      <c:valAx>
        <c:axId val="2888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Log Pond Size (end) by block</a:t>
            </a:r>
          </a:p>
        </c:rich>
      </c:tx>
      <c:layout>
        <c:manualLayout>
          <c:xMode val="edge"/>
          <c:yMode val="edge"/>
          <c:x val="0.1966635908792651"/>
          <c:y val="3.786942257217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36630577427817E-2"/>
          <c:y val="0.14569061679790027"/>
          <c:w val="0.86192810859580049"/>
          <c:h val="0.68425721784776905"/>
        </c:manualLayout>
      </c:layout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data!$AW$11:$AW$206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95</c:v>
                </c:pt>
                <c:pt idx="3">
                  <c:v>38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143</c:v>
                </c:pt>
                <c:pt idx="8">
                  <c:v>106</c:v>
                </c:pt>
                <c:pt idx="9">
                  <c:v>43</c:v>
                </c:pt>
                <c:pt idx="10">
                  <c:v>101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118</c:v>
                </c:pt>
                <c:pt idx="15">
                  <c:v>79</c:v>
                </c:pt>
                <c:pt idx="16">
                  <c:v>84</c:v>
                </c:pt>
                <c:pt idx="17">
                  <c:v>78</c:v>
                </c:pt>
                <c:pt idx="18">
                  <c:v>185</c:v>
                </c:pt>
                <c:pt idx="19">
                  <c:v>185</c:v>
                </c:pt>
                <c:pt idx="20">
                  <c:v>185</c:v>
                </c:pt>
                <c:pt idx="21">
                  <c:v>161</c:v>
                </c:pt>
                <c:pt idx="22">
                  <c:v>125</c:v>
                </c:pt>
                <c:pt idx="23">
                  <c:v>82</c:v>
                </c:pt>
                <c:pt idx="24">
                  <c:v>113</c:v>
                </c:pt>
                <c:pt idx="25">
                  <c:v>219</c:v>
                </c:pt>
                <c:pt idx="26">
                  <c:v>219</c:v>
                </c:pt>
                <c:pt idx="27">
                  <c:v>219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C-444C-97BD-685742C7EA2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data!$AX$11:$AX$206</c:f>
              <c:numCache>
                <c:formatCode>General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171</c:v>
                </c:pt>
                <c:pt idx="29">
                  <c:v>153</c:v>
                </c:pt>
                <c:pt idx="30">
                  <c:v>60</c:v>
                </c:pt>
                <c:pt idx="31">
                  <c:v>152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144</c:v>
                </c:pt>
                <c:pt idx="36">
                  <c:v>117</c:v>
                </c:pt>
                <c:pt idx="37">
                  <c:v>117</c:v>
                </c:pt>
                <c:pt idx="38">
                  <c:v>120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114</c:v>
                </c:pt>
                <c:pt idx="43">
                  <c:v>148</c:v>
                </c:pt>
                <c:pt idx="44">
                  <c:v>116</c:v>
                </c:pt>
                <c:pt idx="45">
                  <c:v>112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200</c:v>
                </c:pt>
                <c:pt idx="50">
                  <c:v>181</c:v>
                </c:pt>
                <c:pt idx="51">
                  <c:v>160</c:v>
                </c:pt>
                <c:pt idx="52">
                  <c:v>176</c:v>
                </c:pt>
                <c:pt idx="53">
                  <c:v>127</c:v>
                </c:pt>
                <c:pt idx="54">
                  <c:v>127</c:v>
                </c:pt>
                <c:pt idx="55">
                  <c:v>127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C-444C-97BD-685742C7EA2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data!$AY$11:$AY$206</c:f>
              <c:numCache>
                <c:formatCode>General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138</c:v>
                </c:pt>
                <c:pt idx="57">
                  <c:v>152</c:v>
                </c:pt>
                <c:pt idx="58">
                  <c:v>149</c:v>
                </c:pt>
                <c:pt idx="59">
                  <c:v>166</c:v>
                </c:pt>
                <c:pt idx="60">
                  <c:v>186</c:v>
                </c:pt>
                <c:pt idx="61">
                  <c:v>186</c:v>
                </c:pt>
                <c:pt idx="62">
                  <c:v>186</c:v>
                </c:pt>
                <c:pt idx="63">
                  <c:v>198</c:v>
                </c:pt>
                <c:pt idx="64">
                  <c:v>200</c:v>
                </c:pt>
                <c:pt idx="65">
                  <c:v>213</c:v>
                </c:pt>
                <c:pt idx="66">
                  <c:v>297</c:v>
                </c:pt>
                <c:pt idx="67">
                  <c:v>285</c:v>
                </c:pt>
                <c:pt idx="68">
                  <c:v>285</c:v>
                </c:pt>
                <c:pt idx="69">
                  <c:v>285</c:v>
                </c:pt>
                <c:pt idx="70">
                  <c:v>269</c:v>
                </c:pt>
                <c:pt idx="71">
                  <c:v>258</c:v>
                </c:pt>
                <c:pt idx="72">
                  <c:v>244</c:v>
                </c:pt>
                <c:pt idx="73">
                  <c:v>255</c:v>
                </c:pt>
                <c:pt idx="74">
                  <c:v>268</c:v>
                </c:pt>
                <c:pt idx="75">
                  <c:v>268</c:v>
                </c:pt>
                <c:pt idx="76">
                  <c:v>268</c:v>
                </c:pt>
                <c:pt idx="77">
                  <c:v>197</c:v>
                </c:pt>
                <c:pt idx="78">
                  <c:v>257</c:v>
                </c:pt>
                <c:pt idx="79">
                  <c:v>263</c:v>
                </c:pt>
                <c:pt idx="80">
                  <c:v>250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C-444C-97BD-685742C7EA2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val>
            <c:numRef>
              <c:f>data!$AZ$11:$AZ$206</c:f>
              <c:numCache>
                <c:formatCode>General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389</c:v>
                </c:pt>
                <c:pt idx="85">
                  <c:v>390</c:v>
                </c:pt>
                <c:pt idx="86">
                  <c:v>386</c:v>
                </c:pt>
                <c:pt idx="87">
                  <c:v>388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373</c:v>
                </c:pt>
                <c:pt idx="92">
                  <c:v>284</c:v>
                </c:pt>
                <c:pt idx="93">
                  <c:v>326</c:v>
                </c:pt>
                <c:pt idx="94">
                  <c:v>314</c:v>
                </c:pt>
                <c:pt idx="95">
                  <c:v>315</c:v>
                </c:pt>
                <c:pt idx="96">
                  <c:v>315</c:v>
                </c:pt>
                <c:pt idx="97">
                  <c:v>315</c:v>
                </c:pt>
                <c:pt idx="98">
                  <c:v>323</c:v>
                </c:pt>
                <c:pt idx="99">
                  <c:v>332</c:v>
                </c:pt>
                <c:pt idx="100">
                  <c:v>361</c:v>
                </c:pt>
                <c:pt idx="101">
                  <c:v>400</c:v>
                </c:pt>
                <c:pt idx="102">
                  <c:v>424</c:v>
                </c:pt>
                <c:pt idx="103">
                  <c:v>424</c:v>
                </c:pt>
                <c:pt idx="104">
                  <c:v>424</c:v>
                </c:pt>
                <c:pt idx="105">
                  <c:v>438</c:v>
                </c:pt>
                <c:pt idx="106">
                  <c:v>453</c:v>
                </c:pt>
                <c:pt idx="107">
                  <c:v>448</c:v>
                </c:pt>
                <c:pt idx="108">
                  <c:v>484</c:v>
                </c:pt>
                <c:pt idx="109">
                  <c:v>495</c:v>
                </c:pt>
                <c:pt idx="110">
                  <c:v>495</c:v>
                </c:pt>
                <c:pt idx="111">
                  <c:v>495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C-444C-97BD-685742C7EA2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val>
            <c:numRef>
              <c:f>data!$BA$11:$BA$206</c:f>
              <c:numCache>
                <c:formatCode>General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520</c:v>
                </c:pt>
                <c:pt idx="113">
                  <c:v>543</c:v>
                </c:pt>
                <c:pt idx="114">
                  <c:v>562</c:v>
                </c:pt>
                <c:pt idx="115">
                  <c:v>550</c:v>
                </c:pt>
                <c:pt idx="116">
                  <c:v>563</c:v>
                </c:pt>
                <c:pt idx="117">
                  <c:v>563</c:v>
                </c:pt>
                <c:pt idx="118">
                  <c:v>563</c:v>
                </c:pt>
                <c:pt idx="119">
                  <c:v>593</c:v>
                </c:pt>
                <c:pt idx="120">
                  <c:v>581</c:v>
                </c:pt>
                <c:pt idx="121">
                  <c:v>594</c:v>
                </c:pt>
                <c:pt idx="122">
                  <c:v>612</c:v>
                </c:pt>
                <c:pt idx="123">
                  <c:v>612</c:v>
                </c:pt>
                <c:pt idx="124">
                  <c:v>612</c:v>
                </c:pt>
                <c:pt idx="125">
                  <c:v>612</c:v>
                </c:pt>
                <c:pt idx="126">
                  <c:v>635</c:v>
                </c:pt>
                <c:pt idx="127">
                  <c:v>658</c:v>
                </c:pt>
                <c:pt idx="128">
                  <c:v>699</c:v>
                </c:pt>
                <c:pt idx="129">
                  <c:v>738</c:v>
                </c:pt>
                <c:pt idx="130">
                  <c:v>767</c:v>
                </c:pt>
                <c:pt idx="131">
                  <c:v>767</c:v>
                </c:pt>
                <c:pt idx="132">
                  <c:v>767</c:v>
                </c:pt>
                <c:pt idx="133">
                  <c:v>812</c:v>
                </c:pt>
                <c:pt idx="134">
                  <c:v>849</c:v>
                </c:pt>
                <c:pt idx="135">
                  <c:v>873</c:v>
                </c:pt>
                <c:pt idx="136">
                  <c:v>916</c:v>
                </c:pt>
                <c:pt idx="137">
                  <c:v>926</c:v>
                </c:pt>
                <c:pt idx="138">
                  <c:v>926</c:v>
                </c:pt>
                <c:pt idx="139">
                  <c:v>926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C-444C-97BD-685742C7EA24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val>
            <c:numRef>
              <c:f>data!$BB$11:$BB$206</c:f>
              <c:numCache>
                <c:formatCode>General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924</c:v>
                </c:pt>
                <c:pt idx="141">
                  <c:v>919</c:v>
                </c:pt>
                <c:pt idx="142">
                  <c:v>922</c:v>
                </c:pt>
                <c:pt idx="143">
                  <c:v>923</c:v>
                </c:pt>
                <c:pt idx="144">
                  <c:v>924</c:v>
                </c:pt>
                <c:pt idx="145">
                  <c:v>924</c:v>
                </c:pt>
                <c:pt idx="146">
                  <c:v>924</c:v>
                </c:pt>
                <c:pt idx="147">
                  <c:v>929</c:v>
                </c:pt>
                <c:pt idx="148">
                  <c:v>948</c:v>
                </c:pt>
                <c:pt idx="149">
                  <c:v>959</c:v>
                </c:pt>
                <c:pt idx="150">
                  <c:v>947</c:v>
                </c:pt>
                <c:pt idx="151">
                  <c:v>928</c:v>
                </c:pt>
                <c:pt idx="152">
                  <c:v>928</c:v>
                </c:pt>
                <c:pt idx="153">
                  <c:v>928</c:v>
                </c:pt>
                <c:pt idx="154">
                  <c:v>940</c:v>
                </c:pt>
                <c:pt idx="155">
                  <c:v>945</c:v>
                </c:pt>
                <c:pt idx="156">
                  <c:v>969</c:v>
                </c:pt>
                <c:pt idx="157">
                  <c:v>983</c:v>
                </c:pt>
                <c:pt idx="158">
                  <c:v>988</c:v>
                </c:pt>
                <c:pt idx="159">
                  <c:v>988</c:v>
                </c:pt>
                <c:pt idx="160">
                  <c:v>988</c:v>
                </c:pt>
                <c:pt idx="161">
                  <c:v>998</c:v>
                </c:pt>
                <c:pt idx="162">
                  <c:v>1011</c:v>
                </c:pt>
                <c:pt idx="163">
                  <c:v>1089</c:v>
                </c:pt>
                <c:pt idx="164">
                  <c:v>1099</c:v>
                </c:pt>
                <c:pt idx="165">
                  <c:v>1118</c:v>
                </c:pt>
                <c:pt idx="166">
                  <c:v>1118</c:v>
                </c:pt>
                <c:pt idx="167">
                  <c:v>1118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C-444C-97BD-685742C7EA2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data!$BC$11:$BC$206</c:f>
              <c:numCache>
                <c:formatCode>General</c:formatCode>
                <c:ptCount val="1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1132</c:v>
                </c:pt>
                <c:pt idx="169">
                  <c:v>1149</c:v>
                </c:pt>
                <c:pt idx="170">
                  <c:v>1148</c:v>
                </c:pt>
                <c:pt idx="171">
                  <c:v>1162</c:v>
                </c:pt>
                <c:pt idx="172">
                  <c:v>1173</c:v>
                </c:pt>
                <c:pt idx="173">
                  <c:v>1021</c:v>
                </c:pt>
                <c:pt idx="174">
                  <c:v>1021</c:v>
                </c:pt>
                <c:pt idx="175">
                  <c:v>1072</c:v>
                </c:pt>
                <c:pt idx="176">
                  <c:v>1075</c:v>
                </c:pt>
                <c:pt idx="177">
                  <c:v>1067</c:v>
                </c:pt>
                <c:pt idx="178">
                  <c:v>1079</c:v>
                </c:pt>
                <c:pt idx="179">
                  <c:v>1071</c:v>
                </c:pt>
                <c:pt idx="180">
                  <c:v>918</c:v>
                </c:pt>
                <c:pt idx="181">
                  <c:v>918</c:v>
                </c:pt>
                <c:pt idx="182">
                  <c:v>890</c:v>
                </c:pt>
                <c:pt idx="183">
                  <c:v>873</c:v>
                </c:pt>
                <c:pt idx="184">
                  <c:v>859</c:v>
                </c:pt>
                <c:pt idx="185">
                  <c:v>841</c:v>
                </c:pt>
                <c:pt idx="186">
                  <c:v>810</c:v>
                </c:pt>
                <c:pt idx="187">
                  <c:v>663</c:v>
                </c:pt>
                <c:pt idx="188">
                  <c:v>663</c:v>
                </c:pt>
                <c:pt idx="189">
                  <c:v>644</c:v>
                </c:pt>
                <c:pt idx="190">
                  <c:v>612</c:v>
                </c:pt>
                <c:pt idx="191">
                  <c:v>573</c:v>
                </c:pt>
                <c:pt idx="192">
                  <c:v>546</c:v>
                </c:pt>
                <c:pt idx="193">
                  <c:v>521</c:v>
                </c:pt>
                <c:pt idx="194">
                  <c:v>364</c:v>
                </c:pt>
                <c:pt idx="195">
                  <c:v>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C-444C-97BD-685742C7E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233624"/>
        <c:axId val="618232312"/>
      </c:areaChart>
      <c:catAx>
        <c:axId val="618233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 of season</a:t>
                </a:r>
              </a:p>
            </c:rich>
          </c:tx>
          <c:layout>
            <c:manualLayout>
              <c:xMode val="edge"/>
              <c:yMode val="edge"/>
              <c:x val="0.78853141404199478"/>
              <c:y val="0.91700295275590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232312"/>
        <c:crosses val="autoZero"/>
        <c:auto val="1"/>
        <c:lblAlgn val="ctr"/>
        <c:lblOffset val="100"/>
        <c:noMultiLvlLbl val="0"/>
      </c:catAx>
      <c:valAx>
        <c:axId val="618232312"/>
        <c:scaling>
          <c:orientation val="minMax"/>
          <c:max val="175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logs</a:t>
                </a:r>
              </a:p>
            </c:rich>
          </c:tx>
          <c:layout>
            <c:manualLayout>
              <c:xMode val="edge"/>
              <c:yMode val="edge"/>
              <c:x val="2.34375E-2"/>
              <c:y val="0.10614206036745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233624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Log Pond Size (end)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data!$AD$11:$AD$23</c:f>
              <c:strCache>
                <c:ptCount val="13"/>
                <c:pt idx="0">
                  <c:v>&lt;=100</c:v>
                </c:pt>
                <c:pt idx="1">
                  <c:v>101 - 200</c:v>
                </c:pt>
                <c:pt idx="2">
                  <c:v>201 - 300</c:v>
                </c:pt>
                <c:pt idx="3">
                  <c:v>301 - 400</c:v>
                </c:pt>
                <c:pt idx="4">
                  <c:v>401 - 500</c:v>
                </c:pt>
                <c:pt idx="5">
                  <c:v>501 - 600</c:v>
                </c:pt>
                <c:pt idx="6">
                  <c:v>601 - 700</c:v>
                </c:pt>
                <c:pt idx="7">
                  <c:v>701 - 800</c:v>
                </c:pt>
                <c:pt idx="8">
                  <c:v>801 - 900</c:v>
                </c:pt>
                <c:pt idx="9">
                  <c:v>901 - 1000</c:v>
                </c:pt>
                <c:pt idx="10">
                  <c:v>1001 - 1100</c:v>
                </c:pt>
                <c:pt idx="11">
                  <c:v>1101 - 1200</c:v>
                </c:pt>
                <c:pt idx="12">
                  <c:v>1201 +</c:v>
                </c:pt>
              </c:strCache>
            </c:strRef>
          </c:cat>
          <c:val>
            <c:numRef>
              <c:f>data!$AF$11:$AF$23</c:f>
              <c:numCache>
                <c:formatCode>General</c:formatCode>
                <c:ptCount val="13"/>
                <c:pt idx="0">
                  <c:v>16</c:v>
                </c:pt>
                <c:pt idx="1">
                  <c:v>47</c:v>
                </c:pt>
                <c:pt idx="2">
                  <c:v>22</c:v>
                </c:pt>
                <c:pt idx="3">
                  <c:v>19</c:v>
                </c:pt>
                <c:pt idx="4">
                  <c:v>10</c:v>
                </c:pt>
                <c:pt idx="5">
                  <c:v>13</c:v>
                </c:pt>
                <c:pt idx="6">
                  <c:v>11</c:v>
                </c:pt>
                <c:pt idx="7">
                  <c:v>4</c:v>
                </c:pt>
                <c:pt idx="8">
                  <c:v>8</c:v>
                </c:pt>
                <c:pt idx="9">
                  <c:v>28</c:v>
                </c:pt>
                <c:pt idx="10">
                  <c:v>10</c:v>
                </c:pt>
                <c:pt idx="11">
                  <c:v>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AD-46B3-86D3-282D79D3C6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1028111"/>
        <c:axId val="451049743"/>
      </c:barChart>
      <c:catAx>
        <c:axId val="45102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49743"/>
        <c:crosses val="autoZero"/>
        <c:auto val="1"/>
        <c:lblAlgn val="ctr"/>
        <c:lblOffset val="100"/>
        <c:noMultiLvlLbl val="0"/>
      </c:catAx>
      <c:valAx>
        <c:axId val="45104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28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 for Logs added to the pond (At)</a:t>
            </a:r>
          </a:p>
        </c:rich>
      </c:tx>
      <c:layout>
        <c:manualLayout>
          <c:xMode val="edge"/>
          <c:yMode val="edge"/>
          <c:x val="0.12640431686046194"/>
          <c:y val="2.3180343069077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data!$AH$11:$AH$19</c:f>
              <c:strCache>
                <c:ptCount val="9"/>
                <c:pt idx="0">
                  <c:v>=0</c:v>
                </c:pt>
                <c:pt idx="1">
                  <c:v>1 - 25</c:v>
                </c:pt>
                <c:pt idx="2">
                  <c:v>26 - 50</c:v>
                </c:pt>
                <c:pt idx="3">
                  <c:v>51 - 75</c:v>
                </c:pt>
                <c:pt idx="4">
                  <c:v>76 - 100</c:v>
                </c:pt>
                <c:pt idx="5">
                  <c:v>101 - 125</c:v>
                </c:pt>
                <c:pt idx="6">
                  <c:v>126 - 150</c:v>
                </c:pt>
                <c:pt idx="7">
                  <c:v>151 - 175</c:v>
                </c:pt>
                <c:pt idx="8">
                  <c:v>176 +</c:v>
                </c:pt>
              </c:strCache>
            </c:strRef>
          </c:cat>
          <c:val>
            <c:numRef>
              <c:f>data!$AJ$11:$AJ$19</c:f>
              <c:numCache>
                <c:formatCode>General</c:formatCode>
                <c:ptCount val="9"/>
                <c:pt idx="0">
                  <c:v>56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10</c:v>
                </c:pt>
                <c:pt idx="5">
                  <c:v>18</c:v>
                </c:pt>
                <c:pt idx="6">
                  <c:v>30</c:v>
                </c:pt>
                <c:pt idx="7">
                  <c:v>57</c:v>
                </c:pt>
                <c:pt idx="8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A-4F41-AE0E-1E3FD5FDAB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630511"/>
        <c:axId val="356630927"/>
      </c:barChart>
      <c:catAx>
        <c:axId val="356630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30927"/>
        <c:crosses val="autoZero"/>
        <c:auto val="1"/>
        <c:lblAlgn val="ctr"/>
        <c:lblOffset val="100"/>
        <c:noMultiLvlLbl val="0"/>
      </c:catAx>
      <c:valAx>
        <c:axId val="35663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30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logs cut in the sawmill (Ct)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data!$AL$11:$AL$20</c:f>
              <c:strCache>
                <c:ptCount val="10"/>
                <c:pt idx="0">
                  <c:v>=0</c:v>
                </c:pt>
                <c:pt idx="1">
                  <c:v>1 - 20</c:v>
                </c:pt>
                <c:pt idx="2">
                  <c:v>21 - 40</c:v>
                </c:pt>
                <c:pt idx="3">
                  <c:v>41 - 60</c:v>
                </c:pt>
                <c:pt idx="4">
                  <c:v>61 - 80</c:v>
                </c:pt>
                <c:pt idx="5">
                  <c:v>81 - 100</c:v>
                </c:pt>
                <c:pt idx="6">
                  <c:v>101 - 120</c:v>
                </c:pt>
                <c:pt idx="7">
                  <c:v>121 - 140</c:v>
                </c:pt>
                <c:pt idx="8">
                  <c:v>141 - 160</c:v>
                </c:pt>
                <c:pt idx="9">
                  <c:v>161 +</c:v>
                </c:pt>
              </c:strCache>
            </c:strRef>
          </c:cat>
          <c:val>
            <c:numRef>
              <c:f>data!$AN$11:$AN$20</c:f>
              <c:numCache>
                <c:formatCode>General</c:formatCode>
                <c:ptCount val="10"/>
                <c:pt idx="0">
                  <c:v>58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11</c:v>
                </c:pt>
                <c:pt idx="7">
                  <c:v>14</c:v>
                </c:pt>
                <c:pt idx="8">
                  <c:v>80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C-4001-A63B-762C079985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6012031"/>
        <c:axId val="466012447"/>
      </c:barChart>
      <c:catAx>
        <c:axId val="46601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12447"/>
        <c:crosses val="autoZero"/>
        <c:auto val="1"/>
        <c:lblAlgn val="ctr"/>
        <c:lblOffset val="100"/>
        <c:noMultiLvlLbl val="0"/>
      </c:catAx>
      <c:valAx>
        <c:axId val="46601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12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non-shortfall days (Ct)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data!$AP$11:$AP$18</c:f>
              <c:strCache>
                <c:ptCount val="8"/>
                <c:pt idx="0">
                  <c:v>&lt;=90</c:v>
                </c:pt>
                <c:pt idx="1">
                  <c:v>91 - 100</c:v>
                </c:pt>
                <c:pt idx="2">
                  <c:v>101 - 110</c:v>
                </c:pt>
                <c:pt idx="3">
                  <c:v>111 - 120</c:v>
                </c:pt>
                <c:pt idx="4">
                  <c:v>121 - 130</c:v>
                </c:pt>
                <c:pt idx="5">
                  <c:v>131 - 140</c:v>
                </c:pt>
                <c:pt idx="6">
                  <c:v>141 - 150</c:v>
                </c:pt>
                <c:pt idx="7">
                  <c:v>151 - 160</c:v>
                </c:pt>
              </c:strCache>
            </c:strRef>
          </c:cat>
          <c:val>
            <c:numRef>
              <c:f>data!$AR$11:$AR$18</c:f>
              <c:numCache>
                <c:formatCode>General</c:formatCode>
                <c:ptCount val="8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7</c:v>
                </c:pt>
                <c:pt idx="6">
                  <c:v>37</c:v>
                </c:pt>
                <c:pt idx="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A-409D-A245-5D50E947A7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4701039"/>
        <c:axId val="454693551"/>
      </c:barChart>
      <c:catAx>
        <c:axId val="45470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3551"/>
        <c:crosses val="autoZero"/>
        <c:auto val="1"/>
        <c:lblAlgn val="ctr"/>
        <c:lblOffset val="100"/>
        <c:noMultiLvlLbl val="0"/>
      </c:catAx>
      <c:valAx>
        <c:axId val="45469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</a:t>
            </a:r>
            <a:r>
              <a:rPr lang="en-GB" baseline="0"/>
              <a:t> Pond Size (end) during the 196 day season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data!$J$11:$J$206</c:f>
              <c:numCache>
                <c:formatCode>General</c:formatCode>
                <c:ptCount val="196"/>
                <c:pt idx="0">
                  <c:v>85</c:v>
                </c:pt>
                <c:pt idx="1">
                  <c:v>82</c:v>
                </c:pt>
                <c:pt idx="2">
                  <c:v>95</c:v>
                </c:pt>
                <c:pt idx="3">
                  <c:v>38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143</c:v>
                </c:pt>
                <c:pt idx="8">
                  <c:v>106</c:v>
                </c:pt>
                <c:pt idx="9">
                  <c:v>43</c:v>
                </c:pt>
                <c:pt idx="10">
                  <c:v>101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118</c:v>
                </c:pt>
                <c:pt idx="15">
                  <c:v>79</c:v>
                </c:pt>
                <c:pt idx="16">
                  <c:v>84</c:v>
                </c:pt>
                <c:pt idx="17">
                  <c:v>78</c:v>
                </c:pt>
                <c:pt idx="18">
                  <c:v>185</c:v>
                </c:pt>
                <c:pt idx="19">
                  <c:v>185</c:v>
                </c:pt>
                <c:pt idx="20">
                  <c:v>185</c:v>
                </c:pt>
                <c:pt idx="21">
                  <c:v>161</c:v>
                </c:pt>
                <c:pt idx="22">
                  <c:v>125</c:v>
                </c:pt>
                <c:pt idx="23">
                  <c:v>82</c:v>
                </c:pt>
                <c:pt idx="24">
                  <c:v>113</c:v>
                </c:pt>
                <c:pt idx="25">
                  <c:v>219</c:v>
                </c:pt>
                <c:pt idx="26">
                  <c:v>219</c:v>
                </c:pt>
                <c:pt idx="27">
                  <c:v>219</c:v>
                </c:pt>
                <c:pt idx="28">
                  <c:v>171</c:v>
                </c:pt>
                <c:pt idx="29">
                  <c:v>153</c:v>
                </c:pt>
                <c:pt idx="30">
                  <c:v>60</c:v>
                </c:pt>
                <c:pt idx="31">
                  <c:v>152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144</c:v>
                </c:pt>
                <c:pt idx="36">
                  <c:v>117</c:v>
                </c:pt>
                <c:pt idx="37">
                  <c:v>117</c:v>
                </c:pt>
                <c:pt idx="38">
                  <c:v>120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114</c:v>
                </c:pt>
                <c:pt idx="43">
                  <c:v>148</c:v>
                </c:pt>
                <c:pt idx="44">
                  <c:v>116</c:v>
                </c:pt>
                <c:pt idx="45">
                  <c:v>112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200</c:v>
                </c:pt>
                <c:pt idx="50">
                  <c:v>181</c:v>
                </c:pt>
                <c:pt idx="51">
                  <c:v>160</c:v>
                </c:pt>
                <c:pt idx="52">
                  <c:v>176</c:v>
                </c:pt>
                <c:pt idx="53">
                  <c:v>127</c:v>
                </c:pt>
                <c:pt idx="54">
                  <c:v>127</c:v>
                </c:pt>
                <c:pt idx="55">
                  <c:v>127</c:v>
                </c:pt>
                <c:pt idx="56">
                  <c:v>138</c:v>
                </c:pt>
                <c:pt idx="57">
                  <c:v>152</c:v>
                </c:pt>
                <c:pt idx="58">
                  <c:v>149</c:v>
                </c:pt>
                <c:pt idx="59">
                  <c:v>166</c:v>
                </c:pt>
                <c:pt idx="60">
                  <c:v>186</c:v>
                </c:pt>
                <c:pt idx="61">
                  <c:v>186</c:v>
                </c:pt>
                <c:pt idx="62">
                  <c:v>186</c:v>
                </c:pt>
                <c:pt idx="63">
                  <c:v>198</c:v>
                </c:pt>
                <c:pt idx="64">
                  <c:v>200</c:v>
                </c:pt>
                <c:pt idx="65">
                  <c:v>213</c:v>
                </c:pt>
                <c:pt idx="66">
                  <c:v>297</c:v>
                </c:pt>
                <c:pt idx="67">
                  <c:v>285</c:v>
                </c:pt>
                <c:pt idx="68">
                  <c:v>285</c:v>
                </c:pt>
                <c:pt idx="69">
                  <c:v>285</c:v>
                </c:pt>
                <c:pt idx="70">
                  <c:v>269</c:v>
                </c:pt>
                <c:pt idx="71">
                  <c:v>258</c:v>
                </c:pt>
                <c:pt idx="72">
                  <c:v>244</c:v>
                </c:pt>
                <c:pt idx="73">
                  <c:v>255</c:v>
                </c:pt>
                <c:pt idx="74">
                  <c:v>268</c:v>
                </c:pt>
                <c:pt idx="75">
                  <c:v>268</c:v>
                </c:pt>
                <c:pt idx="76">
                  <c:v>268</c:v>
                </c:pt>
                <c:pt idx="77">
                  <c:v>197</c:v>
                </c:pt>
                <c:pt idx="78">
                  <c:v>257</c:v>
                </c:pt>
                <c:pt idx="79">
                  <c:v>263</c:v>
                </c:pt>
                <c:pt idx="80">
                  <c:v>250</c:v>
                </c:pt>
                <c:pt idx="81">
                  <c:v>237</c:v>
                </c:pt>
                <c:pt idx="82">
                  <c:v>237</c:v>
                </c:pt>
                <c:pt idx="83">
                  <c:v>237</c:v>
                </c:pt>
                <c:pt idx="84">
                  <c:v>389</c:v>
                </c:pt>
                <c:pt idx="85">
                  <c:v>390</c:v>
                </c:pt>
                <c:pt idx="86">
                  <c:v>386</c:v>
                </c:pt>
                <c:pt idx="87">
                  <c:v>388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373</c:v>
                </c:pt>
                <c:pt idx="92">
                  <c:v>284</c:v>
                </c:pt>
                <c:pt idx="93">
                  <c:v>326</c:v>
                </c:pt>
                <c:pt idx="94">
                  <c:v>314</c:v>
                </c:pt>
                <c:pt idx="95">
                  <c:v>315</c:v>
                </c:pt>
                <c:pt idx="96">
                  <c:v>315</c:v>
                </c:pt>
                <c:pt idx="97">
                  <c:v>315</c:v>
                </c:pt>
                <c:pt idx="98">
                  <c:v>323</c:v>
                </c:pt>
                <c:pt idx="99">
                  <c:v>332</c:v>
                </c:pt>
                <c:pt idx="100">
                  <c:v>361</c:v>
                </c:pt>
                <c:pt idx="101">
                  <c:v>400</c:v>
                </c:pt>
                <c:pt idx="102">
                  <c:v>424</c:v>
                </c:pt>
                <c:pt idx="103">
                  <c:v>424</c:v>
                </c:pt>
                <c:pt idx="104">
                  <c:v>424</c:v>
                </c:pt>
                <c:pt idx="105">
                  <c:v>438</c:v>
                </c:pt>
                <c:pt idx="106">
                  <c:v>453</c:v>
                </c:pt>
                <c:pt idx="107">
                  <c:v>448</c:v>
                </c:pt>
                <c:pt idx="108">
                  <c:v>484</c:v>
                </c:pt>
                <c:pt idx="109">
                  <c:v>495</c:v>
                </c:pt>
                <c:pt idx="110">
                  <c:v>495</c:v>
                </c:pt>
                <c:pt idx="111">
                  <c:v>495</c:v>
                </c:pt>
                <c:pt idx="112">
                  <c:v>520</c:v>
                </c:pt>
                <c:pt idx="113">
                  <c:v>543</c:v>
                </c:pt>
                <c:pt idx="114">
                  <c:v>562</c:v>
                </c:pt>
                <c:pt idx="115">
                  <c:v>550</c:v>
                </c:pt>
                <c:pt idx="116">
                  <c:v>563</c:v>
                </c:pt>
                <c:pt idx="117">
                  <c:v>563</c:v>
                </c:pt>
                <c:pt idx="118">
                  <c:v>563</c:v>
                </c:pt>
                <c:pt idx="119">
                  <c:v>593</c:v>
                </c:pt>
                <c:pt idx="120">
                  <c:v>581</c:v>
                </c:pt>
                <c:pt idx="121">
                  <c:v>594</c:v>
                </c:pt>
                <c:pt idx="122">
                  <c:v>612</c:v>
                </c:pt>
                <c:pt idx="123">
                  <c:v>612</c:v>
                </c:pt>
                <c:pt idx="124">
                  <c:v>612</c:v>
                </c:pt>
                <c:pt idx="125">
                  <c:v>612</c:v>
                </c:pt>
                <c:pt idx="126">
                  <c:v>635</c:v>
                </c:pt>
                <c:pt idx="127">
                  <c:v>658</c:v>
                </c:pt>
                <c:pt idx="128">
                  <c:v>699</c:v>
                </c:pt>
                <c:pt idx="129">
                  <c:v>738</c:v>
                </c:pt>
                <c:pt idx="130">
                  <c:v>767</c:v>
                </c:pt>
                <c:pt idx="131">
                  <c:v>767</c:v>
                </c:pt>
                <c:pt idx="132">
                  <c:v>767</c:v>
                </c:pt>
                <c:pt idx="133">
                  <c:v>812</c:v>
                </c:pt>
                <c:pt idx="134">
                  <c:v>849</c:v>
                </c:pt>
                <c:pt idx="135">
                  <c:v>873</c:v>
                </c:pt>
                <c:pt idx="136">
                  <c:v>916</c:v>
                </c:pt>
                <c:pt idx="137">
                  <c:v>926</c:v>
                </c:pt>
                <c:pt idx="138">
                  <c:v>926</c:v>
                </c:pt>
                <c:pt idx="139">
                  <c:v>926</c:v>
                </c:pt>
                <c:pt idx="140">
                  <c:v>924</c:v>
                </c:pt>
                <c:pt idx="141">
                  <c:v>919</c:v>
                </c:pt>
                <c:pt idx="142">
                  <c:v>922</c:v>
                </c:pt>
                <c:pt idx="143">
                  <c:v>923</c:v>
                </c:pt>
                <c:pt idx="144">
                  <c:v>924</c:v>
                </c:pt>
                <c:pt idx="145">
                  <c:v>924</c:v>
                </c:pt>
                <c:pt idx="146">
                  <c:v>924</c:v>
                </c:pt>
                <c:pt idx="147">
                  <c:v>929</c:v>
                </c:pt>
                <c:pt idx="148">
                  <c:v>948</c:v>
                </c:pt>
                <c:pt idx="149">
                  <c:v>959</c:v>
                </c:pt>
                <c:pt idx="150">
                  <c:v>947</c:v>
                </c:pt>
                <c:pt idx="151">
                  <c:v>928</c:v>
                </c:pt>
                <c:pt idx="152">
                  <c:v>928</c:v>
                </c:pt>
                <c:pt idx="153">
                  <c:v>928</c:v>
                </c:pt>
                <c:pt idx="154">
                  <c:v>940</c:v>
                </c:pt>
                <c:pt idx="155">
                  <c:v>945</c:v>
                </c:pt>
                <c:pt idx="156">
                  <c:v>969</c:v>
                </c:pt>
                <c:pt idx="157">
                  <c:v>983</c:v>
                </c:pt>
                <c:pt idx="158">
                  <c:v>988</c:v>
                </c:pt>
                <c:pt idx="159">
                  <c:v>988</c:v>
                </c:pt>
                <c:pt idx="160">
                  <c:v>988</c:v>
                </c:pt>
                <c:pt idx="161">
                  <c:v>998</c:v>
                </c:pt>
                <c:pt idx="162">
                  <c:v>1011</c:v>
                </c:pt>
                <c:pt idx="163">
                  <c:v>1089</c:v>
                </c:pt>
                <c:pt idx="164">
                  <c:v>1099</c:v>
                </c:pt>
                <c:pt idx="165">
                  <c:v>1118</c:v>
                </c:pt>
                <c:pt idx="166">
                  <c:v>1118</c:v>
                </c:pt>
                <c:pt idx="167">
                  <c:v>1118</c:v>
                </c:pt>
                <c:pt idx="168">
                  <c:v>1132</c:v>
                </c:pt>
                <c:pt idx="169">
                  <c:v>1149</c:v>
                </c:pt>
                <c:pt idx="170">
                  <c:v>1148</c:v>
                </c:pt>
                <c:pt idx="171">
                  <c:v>1162</c:v>
                </c:pt>
                <c:pt idx="172">
                  <c:v>1173</c:v>
                </c:pt>
                <c:pt idx="173">
                  <c:v>1021</c:v>
                </c:pt>
                <c:pt idx="174">
                  <c:v>1021</c:v>
                </c:pt>
                <c:pt idx="175">
                  <c:v>1072</c:v>
                </c:pt>
                <c:pt idx="176">
                  <c:v>1075</c:v>
                </c:pt>
                <c:pt idx="177">
                  <c:v>1067</c:v>
                </c:pt>
                <c:pt idx="178">
                  <c:v>1079</c:v>
                </c:pt>
                <c:pt idx="179">
                  <c:v>1071</c:v>
                </c:pt>
                <c:pt idx="180">
                  <c:v>918</c:v>
                </c:pt>
                <c:pt idx="181">
                  <c:v>918</c:v>
                </c:pt>
                <c:pt idx="182">
                  <c:v>890</c:v>
                </c:pt>
                <c:pt idx="183">
                  <c:v>873</c:v>
                </c:pt>
                <c:pt idx="184">
                  <c:v>859</c:v>
                </c:pt>
                <c:pt idx="185">
                  <c:v>841</c:v>
                </c:pt>
                <c:pt idx="186">
                  <c:v>810</c:v>
                </c:pt>
                <c:pt idx="187">
                  <c:v>663</c:v>
                </c:pt>
                <c:pt idx="188">
                  <c:v>663</c:v>
                </c:pt>
                <c:pt idx="189">
                  <c:v>644</c:v>
                </c:pt>
                <c:pt idx="190">
                  <c:v>612</c:v>
                </c:pt>
                <c:pt idx="191">
                  <c:v>573</c:v>
                </c:pt>
                <c:pt idx="192">
                  <c:v>546</c:v>
                </c:pt>
                <c:pt idx="193">
                  <c:v>521</c:v>
                </c:pt>
                <c:pt idx="194">
                  <c:v>364</c:v>
                </c:pt>
                <c:pt idx="195">
                  <c:v>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8B-486B-81B6-78FF4B554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891839"/>
        <c:axId val="288892671"/>
      </c:lineChart>
      <c:catAx>
        <c:axId val="288891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</a:t>
                </a:r>
                <a:r>
                  <a:rPr lang="en-GB" baseline="0"/>
                  <a:t> of season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2671"/>
        <c:crosses val="autoZero"/>
        <c:auto val="1"/>
        <c:lblAlgn val="ctr"/>
        <c:lblOffset val="100"/>
        <c:noMultiLvlLbl val="0"/>
      </c:catAx>
      <c:valAx>
        <c:axId val="2888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9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17</xdr:row>
      <xdr:rowOff>0</xdr:rowOff>
    </xdr:from>
    <xdr:to>
      <xdr:col>22</xdr:col>
      <xdr:colOff>304800</xdr:colOff>
      <xdr:row>32</xdr:row>
      <xdr:rowOff>25718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305753</xdr:colOff>
      <xdr:row>48</xdr:row>
      <xdr:rowOff>24765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8</xdr:row>
          <xdr:rowOff>142875</xdr:rowOff>
        </xdr:from>
        <xdr:to>
          <xdr:col>21</xdr:col>
          <xdr:colOff>242888</xdr:colOff>
          <xdr:row>11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31</xdr:row>
      <xdr:rowOff>0</xdr:rowOff>
    </xdr:from>
    <xdr:to>
      <xdr:col>33</xdr:col>
      <xdr:colOff>127634</xdr:colOff>
      <xdr:row>46</xdr:row>
      <xdr:rowOff>29528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47</xdr:row>
      <xdr:rowOff>0</xdr:rowOff>
    </xdr:from>
    <xdr:to>
      <xdr:col>33</xdr:col>
      <xdr:colOff>130492</xdr:colOff>
      <xdr:row>62</xdr:row>
      <xdr:rowOff>26670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0</xdr:colOff>
      <xdr:row>31</xdr:row>
      <xdr:rowOff>0</xdr:rowOff>
    </xdr:from>
    <xdr:to>
      <xdr:col>41</xdr:col>
      <xdr:colOff>304800</xdr:colOff>
      <xdr:row>46</xdr:row>
      <xdr:rowOff>32385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47</xdr:row>
      <xdr:rowOff>0</xdr:rowOff>
    </xdr:from>
    <xdr:to>
      <xdr:col>41</xdr:col>
      <xdr:colOff>304800</xdr:colOff>
      <xdr:row>62</xdr:row>
      <xdr:rowOff>26670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17</xdr:row>
      <xdr:rowOff>0</xdr:rowOff>
    </xdr:from>
    <xdr:to>
      <xdr:col>22</xdr:col>
      <xdr:colOff>304800</xdr:colOff>
      <xdr:row>32</xdr:row>
      <xdr:rowOff>25718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305753</xdr:colOff>
      <xdr:row>48</xdr:row>
      <xdr:rowOff>24765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10</xdr:row>
      <xdr:rowOff>0</xdr:rowOff>
    </xdr:from>
    <xdr:to>
      <xdr:col>24</xdr:col>
      <xdr:colOff>304800</xdr:colOff>
      <xdr:row>25</xdr:row>
      <xdr:rowOff>24765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27</xdr:row>
      <xdr:rowOff>0</xdr:rowOff>
    </xdr:from>
    <xdr:to>
      <xdr:col>24</xdr:col>
      <xdr:colOff>608703</xdr:colOff>
      <xdr:row>43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11725275" y="5943600"/>
          <a:ext cx="5142603" cy="2895600"/>
          <a:chOff x="11458575" y="1733550"/>
          <a:chExt cx="4876800" cy="3048000"/>
        </a:xfrm>
      </xdr:grpSpPr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aphicFramePr>
            <a:graphicFrameLocks/>
          </xdr:cNvGraphicFramePr>
        </xdr:nvGraphicFramePr>
        <xdr:xfrm>
          <a:off x="11458575" y="1733550"/>
          <a:ext cx="4876800" cy="304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GrpSpPr/>
        </xdr:nvGrpSpPr>
        <xdr:grpSpPr>
          <a:xfrm>
            <a:off x="12106275" y="3714750"/>
            <a:ext cx="3847085" cy="264560"/>
            <a:chOff x="12106275" y="3714750"/>
            <a:chExt cx="3847085" cy="264560"/>
          </a:xfrm>
        </xdr:grpSpPr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12106275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1</a:t>
              </a: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12696825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2</a:t>
              </a:r>
            </a:p>
          </xdr:txBody>
        </xdr:sp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13287375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3</a:t>
              </a:r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13896975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4</a:t>
              </a: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 txBox="1"/>
          </xdr:nvSpPr>
          <xdr:spPr>
            <a:xfrm>
              <a:off x="14497050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5</a:t>
              </a: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 txBox="1"/>
          </xdr:nvSpPr>
          <xdr:spPr>
            <a:xfrm>
              <a:off x="15106650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6</a:t>
              </a: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 txBox="1"/>
          </xdr:nvSpPr>
          <xdr:spPr>
            <a:xfrm>
              <a:off x="15697200" y="3714750"/>
              <a:ext cx="256160" cy="26456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7</a:t>
              </a:r>
            </a:p>
          </xdr:txBody>
        </xdr:sp>
      </xdr:grpSp>
    </xdr:grpSp>
    <xdr:clientData/>
  </xdr:twoCellAnchor>
  <xdr:twoCellAnchor>
    <xdr:from>
      <xdr:col>29</xdr:col>
      <xdr:colOff>0</xdr:colOff>
      <xdr:row>24</xdr:row>
      <xdr:rowOff>0</xdr:rowOff>
    </xdr:from>
    <xdr:to>
      <xdr:col>36</xdr:col>
      <xdr:colOff>127634</xdr:colOff>
      <xdr:row>39</xdr:row>
      <xdr:rowOff>29528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40</xdr:row>
      <xdr:rowOff>0</xdr:rowOff>
    </xdr:from>
    <xdr:to>
      <xdr:col>36</xdr:col>
      <xdr:colOff>130492</xdr:colOff>
      <xdr:row>55</xdr:row>
      <xdr:rowOff>26670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24</xdr:row>
      <xdr:rowOff>0</xdr:rowOff>
    </xdr:from>
    <xdr:to>
      <xdr:col>44</xdr:col>
      <xdr:colOff>304800</xdr:colOff>
      <xdr:row>39</xdr:row>
      <xdr:rowOff>32385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40</xdr:row>
      <xdr:rowOff>0</xdr:rowOff>
    </xdr:from>
    <xdr:to>
      <xdr:col>44</xdr:col>
      <xdr:colOff>304800</xdr:colOff>
      <xdr:row>55</xdr:row>
      <xdr:rowOff>26670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3</xdr:row>
      <xdr:rowOff>1904</xdr:rowOff>
    </xdr:from>
    <xdr:to>
      <xdr:col>20</xdr:col>
      <xdr:colOff>38100</xdr:colOff>
      <xdr:row>13</xdr:row>
      <xdr:rowOff>10477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73FDD-C9D1-471F-A255-7745387008A5}">
  <sheetPr codeName="Sheet1"/>
  <dimension ref="A1:BB213"/>
  <sheetViews>
    <sheetView workbookViewId="0"/>
  </sheetViews>
  <sheetFormatPr defaultRowHeight="14.25" x14ac:dyDescent="0.45"/>
  <cols>
    <col min="1" max="1" width="4.86328125" customWidth="1"/>
    <col min="5" max="5" width="13.19921875" bestFit="1" customWidth="1"/>
    <col min="13" max="13" width="15.53125" bestFit="1" customWidth="1"/>
    <col min="14" max="14" width="13.19921875" customWidth="1"/>
    <col min="18" max="18" width="8.86328125" customWidth="1"/>
    <col min="27" max="27" width="9.6640625" customWidth="1"/>
    <col min="28" max="28" width="25.86328125" bestFit="1" customWidth="1"/>
    <col min="29" max="29" width="12" bestFit="1" customWidth="1"/>
    <col min="34" max="34" width="15.53125" bestFit="1" customWidth="1"/>
    <col min="35" max="35" width="13.53125" bestFit="1" customWidth="1"/>
    <col min="54" max="54" width="16.796875" customWidth="1"/>
  </cols>
  <sheetData>
    <row r="1" spans="1:54" ht="15.75" x14ac:dyDescent="0.55000000000000004">
      <c r="A1" s="1"/>
      <c r="B1" s="3" t="s">
        <v>72</v>
      </c>
      <c r="C1" s="1" t="s">
        <v>73</v>
      </c>
      <c r="D1" s="1"/>
      <c r="E1" s="1"/>
      <c r="F1" s="1"/>
      <c r="G1" s="1"/>
      <c r="H1" s="5" t="s">
        <v>51</v>
      </c>
      <c r="I1" s="1"/>
      <c r="J1" s="5" t="s">
        <v>48</v>
      </c>
      <c r="K1" s="1"/>
      <c r="L1" s="1"/>
      <c r="M1" s="1"/>
      <c r="N1" s="1"/>
      <c r="O1" s="1" t="s">
        <v>50</v>
      </c>
      <c r="P1" s="1"/>
      <c r="Q1" s="1" t="s">
        <v>85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4" x14ac:dyDescent="0.45">
      <c r="A2" s="1"/>
      <c r="B2" s="3">
        <v>1</v>
      </c>
      <c r="C2" s="65">
        <v>2</v>
      </c>
      <c r="D2" s="1"/>
      <c r="E2" s="1"/>
      <c r="F2" s="1"/>
      <c r="G2" s="3" t="s">
        <v>52</v>
      </c>
      <c r="H2" s="55">
        <f ca="1">AVERAGE(H18:H213)</f>
        <v>95.066326530612244</v>
      </c>
      <c r="I2" s="3" t="s">
        <v>53</v>
      </c>
      <c r="J2" s="55">
        <f ca="1">AVERAGE(J18:J213)</f>
        <v>539.71428571428567</v>
      </c>
      <c r="K2" s="3" t="s">
        <v>53</v>
      </c>
      <c r="L2" s="55">
        <f ca="1">AVERAGE(L18:L213)</f>
        <v>138.07936507936509</v>
      </c>
      <c r="M2" s="1"/>
      <c r="N2" s="1"/>
      <c r="O2" s="1">
        <v>1</v>
      </c>
      <c r="P2" s="77">
        <f t="shared" ref="P2:P15" ca="1" si="0">_xlfn.MAXIFS($M$18:$M$213,$B$18:$B$213,O2)</f>
        <v>422</v>
      </c>
      <c r="Q2" s="1">
        <f>AVERAGEIFS($G$18:$G$213,$E$18:$E$213,1,$B$18:$B$213,O2)</f>
        <v>78.599999999999994</v>
      </c>
      <c r="R2" s="1"/>
      <c r="S2" s="1" t="s">
        <v>87</v>
      </c>
      <c r="T2" s="1">
        <f>MAX(G18:G213)</f>
        <v>205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4" ht="15.6" customHeight="1" x14ac:dyDescent="0.45">
      <c r="A3" s="1"/>
      <c r="B3" s="3">
        <v>2</v>
      </c>
      <c r="C3" s="66">
        <v>4</v>
      </c>
      <c r="D3" s="1"/>
      <c r="E3" s="1"/>
      <c r="F3" s="1"/>
      <c r="G3" s="3" t="s">
        <v>54</v>
      </c>
      <c r="H3" s="56">
        <f ca="1">AVERAGEIF(H18:H213,"&gt;0")</f>
        <v>136.00729927007299</v>
      </c>
      <c r="I3" s="3" t="s">
        <v>55</v>
      </c>
      <c r="J3" s="11">
        <f ca="1">MIN(J18:J213)</f>
        <v>53</v>
      </c>
      <c r="K3" s="3" t="s">
        <v>55</v>
      </c>
      <c r="L3" s="11">
        <f ca="1">MIN(L18:L213)</f>
        <v>120</v>
      </c>
      <c r="M3" s="1"/>
      <c r="N3" s="1"/>
      <c r="O3" s="1">
        <v>2</v>
      </c>
      <c r="P3" s="77">
        <f t="shared" ca="1" si="0"/>
        <v>216</v>
      </c>
      <c r="Q3" s="1">
        <f>AVERAGEIFS($G$18:$G$213,$E$18:$E$213,1,$B$18:$B$213,O3)</f>
        <v>90</v>
      </c>
      <c r="R3" s="1"/>
      <c r="S3" s="1" t="s">
        <v>88</v>
      </c>
      <c r="T3" s="1"/>
      <c r="U3" s="1">
        <f ca="1">_xlfn.MAXIFS(H18:H213,K18:K213,1)</f>
        <v>157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4" ht="15.6" customHeight="1" x14ac:dyDescent="0.45">
      <c r="A4" s="1"/>
      <c r="B4" s="3">
        <v>3</v>
      </c>
      <c r="C4" s="66">
        <v>4</v>
      </c>
      <c r="D4" s="1"/>
      <c r="E4" s="1"/>
      <c r="F4" s="1"/>
      <c r="G4" s="3" t="s">
        <v>56</v>
      </c>
      <c r="H4" s="56">
        <f ca="1">AVERAGEIF(K18:K213,1,H18:H213)</f>
        <v>112.27272727272727</v>
      </c>
      <c r="I4" s="3" t="s">
        <v>57</v>
      </c>
      <c r="J4" s="70">
        <f ca="1">MAX(J18:J213)</f>
        <v>1398</v>
      </c>
      <c r="K4" s="3" t="s">
        <v>57</v>
      </c>
      <c r="L4" s="11">
        <f ca="1">MAX(L18:L213)</f>
        <v>160</v>
      </c>
      <c r="M4" s="1"/>
      <c r="N4" s="1"/>
      <c r="O4" s="1">
        <v>3</v>
      </c>
      <c r="P4" s="77">
        <f t="shared" ca="1" si="0"/>
        <v>-191</v>
      </c>
      <c r="Q4" s="1">
        <f t="shared" ref="Q4:Q15" si="1">AVERAGEIFS($G$18:$G$213,$E$18:$E$213,1,$B$18:$B$213,O4)</f>
        <v>105.7</v>
      </c>
      <c r="R4" s="1"/>
      <c r="S4" s="1" t="s">
        <v>89</v>
      </c>
      <c r="T4" s="1"/>
      <c r="U4" s="1" cm="1">
        <f t="array" aca="1" ref="U4" ca="1">MAX(FREQUENCY(IF(N18:N213&gt;0,ROW(N18:N213)),IF(N18:N213&lt;=0,ROW(N18:N213))))</f>
        <v>5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4" ht="15" customHeight="1" x14ac:dyDescent="0.45">
      <c r="A5" s="1"/>
      <c r="B5" s="3">
        <v>4</v>
      </c>
      <c r="C5" s="66">
        <v>5</v>
      </c>
      <c r="D5" s="1"/>
      <c r="E5" s="1"/>
      <c r="F5" s="1"/>
      <c r="G5" s="3" t="s">
        <v>58</v>
      </c>
      <c r="H5" s="57">
        <f ca="1">AVERAGEIFS(H18:H213,H18:H213,"&gt;0",K18:K213,0)</f>
        <v>138.07936507936509</v>
      </c>
      <c r="I5" s="3" t="s">
        <v>59</v>
      </c>
      <c r="J5" s="56">
        <f ca="1">_xlfn.STDEV.P(J18:J213)</f>
        <v>425.63917122561998</v>
      </c>
      <c r="K5" s="3" t="s">
        <v>59</v>
      </c>
      <c r="L5" s="56">
        <f ca="1">_xlfn.STDEV.P(L18:L213)</f>
        <v>12.03012302157946</v>
      </c>
      <c r="M5" s="1"/>
      <c r="N5" s="1"/>
      <c r="O5" s="1">
        <v>4</v>
      </c>
      <c r="P5" s="77">
        <f t="shared" ca="1" si="0"/>
        <v>-79</v>
      </c>
      <c r="Q5" s="1">
        <f t="shared" si="1"/>
        <v>123.2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4" ht="14.45" customHeight="1" x14ac:dyDescent="0.45">
      <c r="A6" s="1"/>
      <c r="B6" s="3">
        <v>5</v>
      </c>
      <c r="C6" s="66">
        <v>6</v>
      </c>
      <c r="D6" s="1"/>
      <c r="E6" s="1"/>
      <c r="F6" s="1"/>
      <c r="G6" s="1"/>
      <c r="H6" s="1"/>
      <c r="I6" s="3" t="s">
        <v>60</v>
      </c>
      <c r="J6" s="58">
        <f ca="1">J4-J3</f>
        <v>1345</v>
      </c>
      <c r="K6" s="3" t="s">
        <v>60</v>
      </c>
      <c r="L6" s="58">
        <f ca="1">L4-L3</f>
        <v>40</v>
      </c>
      <c r="M6" s="1"/>
      <c r="N6" s="1"/>
      <c r="O6" s="1">
        <v>5</v>
      </c>
      <c r="P6" s="77">
        <f t="shared" ca="1" si="0"/>
        <v>-142</v>
      </c>
      <c r="Q6" s="1">
        <f t="shared" si="1"/>
        <v>152.19999999999999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4" ht="14.45" customHeight="1" x14ac:dyDescent="0.45">
      <c r="A7" s="1"/>
      <c r="B7" s="3">
        <v>6</v>
      </c>
      <c r="C7" s="66">
        <v>5</v>
      </c>
      <c r="D7" s="1"/>
      <c r="E7" s="2" t="s">
        <v>75</v>
      </c>
      <c r="F7" s="1"/>
      <c r="G7" s="1"/>
      <c r="H7" s="1"/>
      <c r="I7" s="3" t="s">
        <v>61</v>
      </c>
      <c r="J7" s="71">
        <f ca="1">J213</f>
        <v>1034</v>
      </c>
      <c r="K7" s="3" t="s">
        <v>62</v>
      </c>
      <c r="L7" s="60">
        <f ca="1">COUNT(L18:L213)</f>
        <v>126</v>
      </c>
      <c r="M7" s="1"/>
      <c r="N7" s="1"/>
      <c r="O7" s="1">
        <v>6</v>
      </c>
      <c r="P7" s="77">
        <f t="shared" ca="1" si="0"/>
        <v>86</v>
      </c>
      <c r="Q7" s="1">
        <f t="shared" si="1"/>
        <v>145.5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4" ht="15.6" customHeight="1" x14ac:dyDescent="0.45">
      <c r="A8" s="1"/>
      <c r="B8" s="3">
        <v>7</v>
      </c>
      <c r="C8" s="66">
        <v>5</v>
      </c>
      <c r="D8" s="1"/>
      <c r="E8" s="1" t="s">
        <v>76</v>
      </c>
      <c r="F8" s="1">
        <f>user!Q23</f>
        <v>130</v>
      </c>
      <c r="G8" s="1"/>
      <c r="H8" s="1"/>
      <c r="I8" s="3" t="s">
        <v>63</v>
      </c>
      <c r="J8" s="72">
        <f ca="1">SUM(K18:K213)</f>
        <v>11</v>
      </c>
      <c r="L8" s="1"/>
      <c r="M8" s="1"/>
      <c r="N8" s="1"/>
      <c r="O8" s="1">
        <v>7</v>
      </c>
      <c r="P8" s="77">
        <f t="shared" ca="1" si="0"/>
        <v>168</v>
      </c>
      <c r="Q8" s="1">
        <f t="shared" si="1"/>
        <v>150.5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4" ht="15.6" customHeight="1" x14ac:dyDescent="0.45">
      <c r="A9" s="1"/>
      <c r="B9" s="3">
        <v>8</v>
      </c>
      <c r="C9" s="66">
        <v>6</v>
      </c>
      <c r="D9" s="1"/>
      <c r="E9" s="1" t="s">
        <v>77</v>
      </c>
      <c r="F9" s="1">
        <f>user!Q24</f>
        <v>150</v>
      </c>
      <c r="G9" s="1"/>
      <c r="H9" s="1"/>
      <c r="I9" s="1"/>
      <c r="J9" s="3"/>
      <c r="K9" s="1"/>
      <c r="L9" s="1"/>
      <c r="M9" s="1"/>
      <c r="N9" s="1"/>
      <c r="O9" s="1">
        <v>8</v>
      </c>
      <c r="P9" s="77">
        <f t="shared" ca="1" si="0"/>
        <v>62</v>
      </c>
      <c r="Q9" s="1">
        <f t="shared" si="1"/>
        <v>170.3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4" ht="15.6" customHeight="1" x14ac:dyDescent="0.45">
      <c r="A10" s="1"/>
      <c r="B10" s="3">
        <v>9</v>
      </c>
      <c r="C10" s="66">
        <v>5</v>
      </c>
      <c r="D10" s="1"/>
      <c r="E10" s="1" t="s">
        <v>78</v>
      </c>
      <c r="F10" s="1">
        <f>user!Q25</f>
        <v>155</v>
      </c>
      <c r="G10" s="1"/>
      <c r="H10" s="1"/>
      <c r="I10" s="1"/>
      <c r="J10" s="3"/>
      <c r="K10" s="1"/>
      <c r="L10" s="1"/>
      <c r="M10" s="1"/>
      <c r="N10" s="1"/>
      <c r="O10" s="1">
        <v>9</v>
      </c>
      <c r="P10" s="77">
        <f t="shared" ca="1" si="0"/>
        <v>332</v>
      </c>
      <c r="Q10" s="1">
        <f t="shared" si="1"/>
        <v>164.9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4" ht="15.6" customHeight="1" x14ac:dyDescent="0.45">
      <c r="A11" s="1"/>
      <c r="B11" s="3">
        <v>10</v>
      </c>
      <c r="C11" s="66">
        <v>6</v>
      </c>
      <c r="D11" s="1"/>
      <c r="E11" s="1" t="s">
        <v>102</v>
      </c>
      <c r="F11" s="1">
        <v>120</v>
      </c>
      <c r="G11" s="1"/>
      <c r="H11" s="1"/>
      <c r="I11" s="1"/>
      <c r="J11" s="3"/>
      <c r="K11" s="1"/>
      <c r="L11" s="1"/>
      <c r="M11" s="1" t="s">
        <v>79</v>
      </c>
      <c r="N11" s="1"/>
      <c r="O11" s="1">
        <v>10</v>
      </c>
      <c r="P11" s="77">
        <f t="shared" ca="1" si="0"/>
        <v>497</v>
      </c>
      <c r="Q11" s="1">
        <f t="shared" si="1"/>
        <v>183.3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4" ht="15.6" customHeight="1" x14ac:dyDescent="0.45">
      <c r="A12" s="1"/>
      <c r="B12" s="3">
        <v>11</v>
      </c>
      <c r="C12" s="66">
        <v>5</v>
      </c>
      <c r="D12" s="1"/>
      <c r="E12" s="1" t="s">
        <v>103</v>
      </c>
      <c r="F12" s="1">
        <v>160</v>
      </c>
      <c r="G12" s="1"/>
      <c r="H12" s="1"/>
      <c r="I12" s="1"/>
      <c r="J12" s="3"/>
      <c r="K12" s="1"/>
      <c r="L12" s="1"/>
      <c r="M12" s="1" t="s">
        <v>80</v>
      </c>
      <c r="N12" s="1">
        <f>user!Q26</f>
        <v>475</v>
      </c>
      <c r="O12" s="1">
        <v>11</v>
      </c>
      <c r="P12" s="77">
        <f t="shared" ca="1" si="0"/>
        <v>351</v>
      </c>
      <c r="Q12" s="1">
        <f t="shared" si="1"/>
        <v>154.19999999999999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4" ht="15.6" customHeight="1" x14ac:dyDescent="0.45">
      <c r="A13" s="1"/>
      <c r="B13" s="3">
        <v>12</v>
      </c>
      <c r="C13" s="66">
        <v>5</v>
      </c>
      <c r="D13" s="1"/>
      <c r="E13" s="1"/>
      <c r="F13" s="1"/>
      <c r="G13" s="1"/>
      <c r="H13" s="1"/>
      <c r="I13" s="1"/>
      <c r="J13" s="3"/>
      <c r="K13" s="1"/>
      <c r="L13" s="1"/>
      <c r="M13" s="1" t="s">
        <v>82</v>
      </c>
      <c r="N13" s="1">
        <f>user!Q27</f>
        <v>25</v>
      </c>
      <c r="O13" s="1">
        <v>12</v>
      </c>
      <c r="P13" s="77">
        <f t="shared" ca="1" si="0"/>
        <v>419</v>
      </c>
      <c r="Q13" s="1">
        <f t="shared" si="1"/>
        <v>165.7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4" ht="15.6" customHeight="1" x14ac:dyDescent="0.45">
      <c r="A14" s="1"/>
      <c r="B14" s="3">
        <v>13</v>
      </c>
      <c r="C14" s="66">
        <v>5</v>
      </c>
      <c r="D14" s="1"/>
      <c r="E14" s="1"/>
      <c r="F14" s="1"/>
      <c r="G14" s="1"/>
      <c r="H14" s="1"/>
      <c r="I14" s="1"/>
      <c r="J14" s="3"/>
      <c r="K14" s="1"/>
      <c r="L14" s="1"/>
      <c r="M14" s="1" t="s">
        <v>81</v>
      </c>
      <c r="N14" s="1">
        <f>user!Q28</f>
        <v>20</v>
      </c>
      <c r="O14" s="1">
        <v>13</v>
      </c>
      <c r="P14" s="77">
        <f t="shared" ca="1" si="0"/>
        <v>451</v>
      </c>
      <c r="Q14" s="1">
        <f t="shared" si="1"/>
        <v>155.9</v>
      </c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4" ht="15.6" customHeight="1" x14ac:dyDescent="0.45">
      <c r="A15" s="1"/>
      <c r="B15" s="3">
        <v>14</v>
      </c>
      <c r="C15" s="67">
        <v>6</v>
      </c>
      <c r="D15" s="1"/>
      <c r="E15" s="1"/>
      <c r="F15" s="1"/>
      <c r="G15" s="1"/>
      <c r="H15" s="1"/>
      <c r="I15" s="1"/>
      <c r="J15" s="3"/>
      <c r="K15" s="1"/>
      <c r="L15" s="1"/>
      <c r="M15" s="1"/>
      <c r="N15" s="1"/>
      <c r="O15" s="1">
        <v>14</v>
      </c>
      <c r="P15" s="77">
        <f t="shared" ca="1" si="0"/>
        <v>-167</v>
      </c>
      <c r="Q15" s="1">
        <f t="shared" si="1"/>
        <v>126.7</v>
      </c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4" ht="14.65" x14ac:dyDescent="0.45">
      <c r="A16" s="1"/>
      <c r="B16" s="68" t="s">
        <v>42</v>
      </c>
      <c r="C16" s="5">
        <f>SUM(C2:C15)*2</f>
        <v>138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 t="s">
        <v>86</v>
      </c>
      <c r="R16" s="1">
        <f>MAX(Q2:Q15)</f>
        <v>183.3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t="s">
        <v>84</v>
      </c>
    </row>
    <row r="17" spans="1:54" ht="76.5" customHeight="1" x14ac:dyDescent="0.65">
      <c r="A17" s="1"/>
      <c r="B17" s="51" t="s">
        <v>2</v>
      </c>
      <c r="C17" s="51" t="s">
        <v>3</v>
      </c>
      <c r="D17" s="51" t="s">
        <v>4</v>
      </c>
      <c r="E17" s="51" t="s">
        <v>5</v>
      </c>
      <c r="F17" s="51" t="s">
        <v>6</v>
      </c>
      <c r="G17" s="52" t="s">
        <v>45</v>
      </c>
      <c r="H17" s="51" t="s">
        <v>46</v>
      </c>
      <c r="I17" s="51" t="s">
        <v>47</v>
      </c>
      <c r="J17" s="51" t="s">
        <v>48</v>
      </c>
      <c r="K17" s="4" t="s">
        <v>49</v>
      </c>
      <c r="L17" s="6"/>
      <c r="M17" s="6"/>
      <c r="N17" s="1" t="s">
        <v>105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61"/>
      <c r="AB17" s="1"/>
      <c r="AC17" s="1"/>
      <c r="AD17" s="1"/>
      <c r="AE17" s="61"/>
      <c r="AF17" s="1"/>
      <c r="AG17" s="1"/>
      <c r="AH17" s="1"/>
      <c r="AI17" s="61"/>
      <c r="AJ17" s="1"/>
      <c r="AK17" s="1"/>
      <c r="AL17" s="1"/>
      <c r="AM17" s="61"/>
      <c r="AN17" s="1"/>
      <c r="AO17" s="1"/>
      <c r="AP17" s="1"/>
      <c r="AQ17" s="1"/>
      <c r="AR17" s="1"/>
      <c r="AS17" s="1"/>
      <c r="AT17" s="1">
        <v>1</v>
      </c>
      <c r="AU17" s="1">
        <v>2</v>
      </c>
      <c r="AV17" s="1">
        <v>3</v>
      </c>
      <c r="AW17" s="1">
        <v>4</v>
      </c>
      <c r="AX17" s="1">
        <v>5</v>
      </c>
      <c r="AY17" s="1">
        <v>6</v>
      </c>
      <c r="AZ17" s="1">
        <v>7</v>
      </c>
      <c r="BA17" s="1"/>
      <c r="BB17" s="51" t="s">
        <v>83</v>
      </c>
    </row>
    <row r="18" spans="1:54" x14ac:dyDescent="0.45">
      <c r="B18" s="11">
        <v>1</v>
      </c>
      <c r="C18">
        <v>1</v>
      </c>
      <c r="D18" s="12">
        <v>1</v>
      </c>
      <c r="E18">
        <v>1</v>
      </c>
      <c r="F18">
        <f>IF(D18&lt;=INDEX($C$2:$C$15,B18),1,0)</f>
        <v>1</v>
      </c>
      <c r="G18">
        <v>85</v>
      </c>
      <c r="H18" s="13">
        <v>0</v>
      </c>
      <c r="I18">
        <v>0</v>
      </c>
      <c r="J18">
        <f>I18+G18-H18</f>
        <v>85</v>
      </c>
      <c r="K18" s="8"/>
      <c r="L18" s="8"/>
      <c r="M18" s="10" t="str">
        <f>IF(B19&lt;&gt;B18,J18-#REF!,"")</f>
        <v/>
      </c>
      <c r="N18">
        <f ca="1">J19-J18</f>
        <v>-3</v>
      </c>
      <c r="AA18" s="62"/>
      <c r="AE18" s="62"/>
      <c r="AI18" s="62"/>
      <c r="AM18" s="62"/>
      <c r="AT18" s="9">
        <f t="shared" ref="AT18:AZ33" si="2">IF($B18=AT$17,$J18,NA())</f>
        <v>85</v>
      </c>
      <c r="AU18" s="8" t="e">
        <f t="shared" si="2"/>
        <v>#N/A</v>
      </c>
      <c r="AV18" s="8" t="e">
        <f t="shared" si="2"/>
        <v>#N/A</v>
      </c>
      <c r="AW18" s="8" t="e">
        <f t="shared" si="2"/>
        <v>#N/A</v>
      </c>
      <c r="AX18" s="8" t="e">
        <f t="shared" si="2"/>
        <v>#N/A</v>
      </c>
      <c r="AY18" s="8" t="e">
        <f t="shared" si="2"/>
        <v>#N/A</v>
      </c>
      <c r="AZ18" s="10" t="e">
        <f t="shared" si="2"/>
        <v>#N/A</v>
      </c>
      <c r="BB18">
        <v>85</v>
      </c>
    </row>
    <row r="19" spans="1:54" x14ac:dyDescent="0.45">
      <c r="B19" s="11">
        <v>1</v>
      </c>
      <c r="C19">
        <v>2</v>
      </c>
      <c r="D19" s="12">
        <v>2</v>
      </c>
      <c r="E19">
        <v>1</v>
      </c>
      <c r="F19">
        <f t="shared" ref="F19:F82" si="3">IF(D19&lt;=INDEX($C$2:$C$15,B19),1,0)</f>
        <v>1</v>
      </c>
      <c r="G19">
        <v>82</v>
      </c>
      <c r="H19" s="13">
        <f t="shared" ref="H19:H50" ca="1" si="4">IF(F19=1,MIN(I19,RANDBETWEEN(lower,upper)),0)</f>
        <v>85</v>
      </c>
      <c r="I19">
        <f>J18</f>
        <v>85</v>
      </c>
      <c r="J19">
        <f t="shared" ref="J19:J82" ca="1" si="5">I19+G19-H19</f>
        <v>82</v>
      </c>
      <c r="K19">
        <f ca="1">IF(AND(H19=I19,F19=1),1,0)</f>
        <v>1</v>
      </c>
      <c r="L19" t="str">
        <f ca="1">IF(OR(F19=0,K19=1),"",H19)</f>
        <v/>
      </c>
      <c r="M19" s="13" t="str">
        <f>IF(B20&lt;&gt;B19,J19-#REF!,"")</f>
        <v/>
      </c>
      <c r="N19">
        <f t="shared" ref="N19:N82" ca="1" si="6">J20-J19</f>
        <v>95</v>
      </c>
      <c r="AA19" s="62"/>
      <c r="AM19" s="62"/>
      <c r="AT19" s="12">
        <f t="shared" ca="1" si="2"/>
        <v>82</v>
      </c>
      <c r="AU19" t="e">
        <f t="shared" si="2"/>
        <v>#N/A</v>
      </c>
      <c r="AV19" t="e">
        <f t="shared" si="2"/>
        <v>#N/A</v>
      </c>
      <c r="AW19" t="e">
        <f t="shared" si="2"/>
        <v>#N/A</v>
      </c>
      <c r="AX19" t="e">
        <f t="shared" si="2"/>
        <v>#N/A</v>
      </c>
      <c r="AY19" t="e">
        <f t="shared" si="2"/>
        <v>#N/A</v>
      </c>
      <c r="AZ19" s="13" t="e">
        <f t="shared" si="2"/>
        <v>#N/A</v>
      </c>
      <c r="BB19">
        <v>82</v>
      </c>
    </row>
    <row r="20" spans="1:54" x14ac:dyDescent="0.45">
      <c r="B20" s="11">
        <v>1</v>
      </c>
      <c r="C20">
        <v>3</v>
      </c>
      <c r="D20" s="12">
        <v>3</v>
      </c>
      <c r="E20">
        <v>1</v>
      </c>
      <c r="F20">
        <f t="shared" si="3"/>
        <v>0</v>
      </c>
      <c r="G20">
        <v>95</v>
      </c>
      <c r="H20" s="13">
        <f t="shared" ca="1" si="4"/>
        <v>0</v>
      </c>
      <c r="I20">
        <f t="shared" ref="I20:I83" ca="1" si="7">J19</f>
        <v>82</v>
      </c>
      <c r="J20">
        <f t="shared" ca="1" si="5"/>
        <v>177</v>
      </c>
      <c r="K20">
        <f t="shared" ref="K20:K83" ca="1" si="8">IF(AND(H20=I20,F20=1),1,0)</f>
        <v>0</v>
      </c>
      <c r="L20" t="str">
        <f t="shared" ref="L20:L83" ca="1" si="9">IF(OR(F20=0,K20=1),"",H20)</f>
        <v/>
      </c>
      <c r="M20" s="13" t="str">
        <f>IF(B21&lt;&gt;B20,J20-#REF!,"")</f>
        <v/>
      </c>
      <c r="N20">
        <f t="shared" ca="1" si="6"/>
        <v>38</v>
      </c>
      <c r="AA20" s="62"/>
      <c r="AM20" s="62"/>
      <c r="AT20" s="12">
        <f t="shared" ca="1" si="2"/>
        <v>177</v>
      </c>
      <c r="AU20" t="e">
        <f t="shared" si="2"/>
        <v>#N/A</v>
      </c>
      <c r="AV20" t="e">
        <f t="shared" si="2"/>
        <v>#N/A</v>
      </c>
      <c r="AW20" t="e">
        <f t="shared" si="2"/>
        <v>#N/A</v>
      </c>
      <c r="AX20" t="e">
        <f t="shared" si="2"/>
        <v>#N/A</v>
      </c>
      <c r="AY20" t="e">
        <f t="shared" si="2"/>
        <v>#N/A</v>
      </c>
      <c r="AZ20" s="13" t="e">
        <f t="shared" si="2"/>
        <v>#N/A</v>
      </c>
      <c r="BB20">
        <v>95</v>
      </c>
    </row>
    <row r="21" spans="1:54" x14ac:dyDescent="0.45">
      <c r="B21" s="11">
        <v>1</v>
      </c>
      <c r="C21">
        <v>4</v>
      </c>
      <c r="D21" s="12">
        <v>4</v>
      </c>
      <c r="E21">
        <v>1</v>
      </c>
      <c r="F21">
        <f t="shared" si="3"/>
        <v>0</v>
      </c>
      <c r="G21">
        <v>38</v>
      </c>
      <c r="H21" s="13">
        <f t="shared" ca="1" si="4"/>
        <v>0</v>
      </c>
      <c r="I21">
        <f t="shared" ca="1" si="7"/>
        <v>177</v>
      </c>
      <c r="J21">
        <f t="shared" ca="1" si="5"/>
        <v>215</v>
      </c>
      <c r="K21">
        <f t="shared" ca="1" si="8"/>
        <v>0</v>
      </c>
      <c r="L21" t="str">
        <f t="shared" ca="1" si="9"/>
        <v/>
      </c>
      <c r="M21" s="13" t="str">
        <f>IF(B22&lt;&gt;B21,J21-#REF!,"")</f>
        <v/>
      </c>
      <c r="N21">
        <f t="shared" ca="1" si="6"/>
        <v>40</v>
      </c>
      <c r="AA21" s="62"/>
      <c r="AB21" s="1" t="s">
        <v>93</v>
      </c>
      <c r="AM21" s="62"/>
      <c r="AT21" s="12">
        <f t="shared" ca="1" si="2"/>
        <v>215</v>
      </c>
      <c r="AU21" t="e">
        <f t="shared" si="2"/>
        <v>#N/A</v>
      </c>
      <c r="AV21" t="e">
        <f t="shared" si="2"/>
        <v>#N/A</v>
      </c>
      <c r="AW21" t="e">
        <f t="shared" si="2"/>
        <v>#N/A</v>
      </c>
      <c r="AX21" t="e">
        <f t="shared" si="2"/>
        <v>#N/A</v>
      </c>
      <c r="AY21" t="e">
        <f t="shared" si="2"/>
        <v>#N/A</v>
      </c>
      <c r="AZ21" s="13" t="e">
        <f t="shared" si="2"/>
        <v>#N/A</v>
      </c>
      <c r="BB21">
        <v>38</v>
      </c>
    </row>
    <row r="22" spans="1:54" x14ac:dyDescent="0.45">
      <c r="B22" s="11">
        <v>1</v>
      </c>
      <c r="C22">
        <v>5</v>
      </c>
      <c r="D22" s="12">
        <v>5</v>
      </c>
      <c r="E22">
        <v>1</v>
      </c>
      <c r="F22">
        <f t="shared" si="3"/>
        <v>0</v>
      </c>
      <c r="G22">
        <v>40</v>
      </c>
      <c r="H22" s="13">
        <f t="shared" ca="1" si="4"/>
        <v>0</v>
      </c>
      <c r="I22">
        <f t="shared" ca="1" si="7"/>
        <v>215</v>
      </c>
      <c r="J22">
        <f t="shared" ca="1" si="5"/>
        <v>255</v>
      </c>
      <c r="K22">
        <f t="shared" ca="1" si="8"/>
        <v>0</v>
      </c>
      <c r="L22" t="str">
        <f t="shared" ca="1" si="9"/>
        <v/>
      </c>
      <c r="M22" s="13" t="str">
        <f>IF(B23&lt;&gt;B22,J22-#REF!,"")</f>
        <v/>
      </c>
      <c r="N22">
        <f t="shared" ca="1" si="6"/>
        <v>0</v>
      </c>
      <c r="AA22" s="62"/>
      <c r="AB22" t="s">
        <v>53</v>
      </c>
      <c r="AC22">
        <f>AVERAGE(AC29:AC128)</f>
        <v>533.42275510204092</v>
      </c>
      <c r="AD22">
        <f t="shared" ref="AD22:AI22" si="10">AVERAGE(AD29:AD128)</f>
        <v>46.83</v>
      </c>
      <c r="AE22">
        <f t="shared" si="10"/>
        <v>1318.55</v>
      </c>
      <c r="AF22">
        <f t="shared" si="10"/>
        <v>390.94908315009968</v>
      </c>
      <c r="AG22">
        <f t="shared" si="10"/>
        <v>1271.72</v>
      </c>
      <c r="AH22">
        <f t="shared" si="10"/>
        <v>911.57</v>
      </c>
      <c r="AI22">
        <f t="shared" si="10"/>
        <v>11.88</v>
      </c>
      <c r="AM22" s="62"/>
      <c r="AT22" s="12">
        <f t="shared" ca="1" si="2"/>
        <v>255</v>
      </c>
      <c r="AU22" t="e">
        <f t="shared" si="2"/>
        <v>#N/A</v>
      </c>
      <c r="AV22" t="e">
        <f t="shared" si="2"/>
        <v>#N/A</v>
      </c>
      <c r="AW22" t="e">
        <f t="shared" si="2"/>
        <v>#N/A</v>
      </c>
      <c r="AX22" t="e">
        <f t="shared" si="2"/>
        <v>#N/A</v>
      </c>
      <c r="AY22" t="e">
        <f t="shared" si="2"/>
        <v>#N/A</v>
      </c>
      <c r="AZ22" s="13" t="e">
        <f t="shared" si="2"/>
        <v>#N/A</v>
      </c>
      <c r="BB22">
        <v>78</v>
      </c>
    </row>
    <row r="23" spans="1:54" x14ac:dyDescent="0.45">
      <c r="B23" s="11">
        <v>1</v>
      </c>
      <c r="C23">
        <v>6</v>
      </c>
      <c r="D23" s="12">
        <v>6</v>
      </c>
      <c r="E23">
        <v>0</v>
      </c>
      <c r="F23">
        <f t="shared" si="3"/>
        <v>0</v>
      </c>
      <c r="G23">
        <v>0</v>
      </c>
      <c r="H23" s="13">
        <f t="shared" ca="1" si="4"/>
        <v>0</v>
      </c>
      <c r="I23">
        <f t="shared" ca="1" si="7"/>
        <v>255</v>
      </c>
      <c r="J23">
        <f t="shared" ca="1" si="5"/>
        <v>255</v>
      </c>
      <c r="K23">
        <f t="shared" ca="1" si="8"/>
        <v>0</v>
      </c>
      <c r="L23" t="str">
        <f t="shared" ca="1" si="9"/>
        <v/>
      </c>
      <c r="M23" s="13" t="str">
        <f>IF(B24&lt;&gt;B23,J23-#REF!,"")</f>
        <v/>
      </c>
      <c r="N23">
        <f t="shared" ca="1" si="6"/>
        <v>0</v>
      </c>
      <c r="AA23" s="62"/>
      <c r="AB23" t="s">
        <v>90</v>
      </c>
      <c r="AC23">
        <f>MIN(AC29:AC128)</f>
        <v>439.24489795918367</v>
      </c>
      <c r="AD23">
        <f t="shared" ref="AD23:AI23" si="11">MIN(AD29:AD128)</f>
        <v>4</v>
      </c>
      <c r="AE23">
        <f t="shared" si="11"/>
        <v>1098</v>
      </c>
      <c r="AF23">
        <f t="shared" si="11"/>
        <v>302.51707866190372</v>
      </c>
      <c r="AG23">
        <f t="shared" si="11"/>
        <v>1049</v>
      </c>
      <c r="AH23">
        <f t="shared" si="11"/>
        <v>665</v>
      </c>
      <c r="AI23">
        <f t="shared" si="11"/>
        <v>6</v>
      </c>
      <c r="AM23" s="62"/>
      <c r="AT23" s="12">
        <f t="shared" ca="1" si="2"/>
        <v>255</v>
      </c>
      <c r="AU23" t="e">
        <f t="shared" si="2"/>
        <v>#N/A</v>
      </c>
      <c r="AV23" t="e">
        <f t="shared" si="2"/>
        <v>#N/A</v>
      </c>
      <c r="AW23" t="e">
        <f t="shared" si="2"/>
        <v>#N/A</v>
      </c>
      <c r="AX23" t="e">
        <f t="shared" si="2"/>
        <v>#N/A</v>
      </c>
      <c r="AY23" t="e">
        <f t="shared" si="2"/>
        <v>#N/A</v>
      </c>
      <c r="AZ23" s="13" t="e">
        <f t="shared" si="2"/>
        <v>#N/A</v>
      </c>
      <c r="BB23">
        <v>78</v>
      </c>
    </row>
    <row r="24" spans="1:54" x14ac:dyDescent="0.45">
      <c r="B24" s="11">
        <v>1</v>
      </c>
      <c r="C24">
        <v>7</v>
      </c>
      <c r="D24" s="14">
        <v>7</v>
      </c>
      <c r="E24" s="15">
        <v>0</v>
      </c>
      <c r="F24">
        <f t="shared" si="3"/>
        <v>0</v>
      </c>
      <c r="G24" s="15">
        <v>0</v>
      </c>
      <c r="H24" s="13">
        <f t="shared" ca="1" si="4"/>
        <v>0</v>
      </c>
      <c r="I24">
        <f t="shared" ca="1" si="7"/>
        <v>255</v>
      </c>
      <c r="J24">
        <f t="shared" ca="1" si="5"/>
        <v>255</v>
      </c>
      <c r="K24">
        <f t="shared" ca="1" si="8"/>
        <v>0</v>
      </c>
      <c r="L24" t="str">
        <f t="shared" ca="1" si="9"/>
        <v/>
      </c>
      <c r="M24" s="13" t="str">
        <f>IF(B25&lt;&gt;B24,J24-#REF!,"")</f>
        <v/>
      </c>
      <c r="N24">
        <f t="shared" ca="1" si="6"/>
        <v>3</v>
      </c>
      <c r="AA24" s="62"/>
      <c r="AB24" t="s">
        <v>91</v>
      </c>
      <c r="AC24">
        <f>MAX(AC29:AC128)</f>
        <v>624.32142857142856</v>
      </c>
      <c r="AD24">
        <f t="shared" ref="AD24:AI24" si="12">MAX(AD29:AD128)</f>
        <v>82</v>
      </c>
      <c r="AE24">
        <f t="shared" si="12"/>
        <v>1597</v>
      </c>
      <c r="AF24">
        <f t="shared" si="12"/>
        <v>491.79509403285584</v>
      </c>
      <c r="AG24">
        <f t="shared" si="12"/>
        <v>1593</v>
      </c>
      <c r="AH24">
        <f t="shared" si="12"/>
        <v>1176</v>
      </c>
      <c r="AI24">
        <f t="shared" si="12"/>
        <v>19</v>
      </c>
      <c r="AM24" s="62"/>
      <c r="AT24" s="12">
        <f t="shared" ca="1" si="2"/>
        <v>255</v>
      </c>
      <c r="AU24" t="e">
        <f t="shared" si="2"/>
        <v>#N/A</v>
      </c>
      <c r="AV24" t="e">
        <f t="shared" si="2"/>
        <v>#N/A</v>
      </c>
      <c r="AW24" t="e">
        <f t="shared" si="2"/>
        <v>#N/A</v>
      </c>
      <c r="AX24" t="e">
        <f t="shared" si="2"/>
        <v>#N/A</v>
      </c>
      <c r="AY24" t="e">
        <f t="shared" si="2"/>
        <v>#N/A</v>
      </c>
      <c r="AZ24" s="13" t="e">
        <f t="shared" si="2"/>
        <v>#N/A</v>
      </c>
      <c r="BB24">
        <v>78</v>
      </c>
    </row>
    <row r="25" spans="1:54" x14ac:dyDescent="0.45">
      <c r="B25" s="11">
        <v>1</v>
      </c>
      <c r="C25" s="13">
        <v>8</v>
      </c>
      <c r="D25">
        <v>1</v>
      </c>
      <c r="E25">
        <v>1</v>
      </c>
      <c r="F25">
        <f t="shared" si="3"/>
        <v>1</v>
      </c>
      <c r="G25">
        <v>143</v>
      </c>
      <c r="H25" s="13">
        <f t="shared" ca="1" si="4"/>
        <v>140</v>
      </c>
      <c r="I25">
        <f t="shared" ca="1" si="7"/>
        <v>255</v>
      </c>
      <c r="J25">
        <f t="shared" ca="1" si="5"/>
        <v>258</v>
      </c>
      <c r="K25">
        <f t="shared" ca="1" si="8"/>
        <v>0</v>
      </c>
      <c r="L25">
        <f t="shared" ca="1" si="9"/>
        <v>140</v>
      </c>
      <c r="M25" s="13" t="str">
        <f>IF(B26&lt;&gt;B25,J25-#REF!,"")</f>
        <v/>
      </c>
      <c r="N25">
        <f t="shared" ca="1" si="6"/>
        <v>-54</v>
      </c>
      <c r="AA25" s="62"/>
      <c r="AB25" t="s">
        <v>92</v>
      </c>
      <c r="AC25">
        <f>_xlfn.STDEV.P(AC29:AC128)</f>
        <v>35.668097107941435</v>
      </c>
      <c r="AD25">
        <f t="shared" ref="AD25:AI25" si="13">_xlfn.STDEV.P(AD29:AD128)</f>
        <v>14.431947200568606</v>
      </c>
      <c r="AE25">
        <f t="shared" si="13"/>
        <v>95.87766945436249</v>
      </c>
      <c r="AF25">
        <f t="shared" si="13"/>
        <v>35.31533691079003</v>
      </c>
      <c r="AG25">
        <f t="shared" si="13"/>
        <v>98.180963531633765</v>
      </c>
      <c r="AH25">
        <f t="shared" si="13"/>
        <v>101.39105039400667</v>
      </c>
      <c r="AI25">
        <f t="shared" si="13"/>
        <v>2.7830918058878331</v>
      </c>
      <c r="AM25" s="62"/>
      <c r="AT25" s="12">
        <f t="shared" ca="1" si="2"/>
        <v>258</v>
      </c>
      <c r="AU25" t="e">
        <f t="shared" si="2"/>
        <v>#N/A</v>
      </c>
      <c r="AV25" t="e">
        <f t="shared" si="2"/>
        <v>#N/A</v>
      </c>
      <c r="AW25" t="e">
        <f t="shared" si="2"/>
        <v>#N/A</v>
      </c>
      <c r="AX25" t="e">
        <f t="shared" si="2"/>
        <v>#N/A</v>
      </c>
      <c r="AY25" t="e">
        <f t="shared" si="2"/>
        <v>#N/A</v>
      </c>
      <c r="AZ25" s="13" t="e">
        <f t="shared" si="2"/>
        <v>#N/A</v>
      </c>
      <c r="BB25">
        <v>143</v>
      </c>
    </row>
    <row r="26" spans="1:54" x14ac:dyDescent="0.45">
      <c r="B26" s="11">
        <v>1</v>
      </c>
      <c r="C26" s="13">
        <v>9</v>
      </c>
      <c r="D26">
        <v>2</v>
      </c>
      <c r="E26">
        <v>1</v>
      </c>
      <c r="F26">
        <f t="shared" si="3"/>
        <v>1</v>
      </c>
      <c r="G26">
        <v>85</v>
      </c>
      <c r="H26" s="13">
        <f t="shared" ca="1" si="4"/>
        <v>139</v>
      </c>
      <c r="I26">
        <f t="shared" ca="1" si="7"/>
        <v>258</v>
      </c>
      <c r="J26">
        <f t="shared" ca="1" si="5"/>
        <v>204</v>
      </c>
      <c r="K26">
        <f t="shared" ca="1" si="8"/>
        <v>0</v>
      </c>
      <c r="L26">
        <f t="shared" ca="1" si="9"/>
        <v>139</v>
      </c>
      <c r="M26" s="13" t="str">
        <f>IF(B27&lt;&gt;B26,J26-#REF!,"")</f>
        <v/>
      </c>
      <c r="N26">
        <f t="shared" ca="1" si="6"/>
        <v>43</v>
      </c>
      <c r="AA26" s="62"/>
      <c r="AB26" t="s">
        <v>60</v>
      </c>
      <c r="AC26">
        <f>AC24-AC23</f>
        <v>185.07653061224488</v>
      </c>
      <c r="AD26">
        <f t="shared" ref="AD26:AI26" si="14">AD24-AD23</f>
        <v>78</v>
      </c>
      <c r="AE26">
        <f t="shared" si="14"/>
        <v>499</v>
      </c>
      <c r="AF26">
        <f t="shared" si="14"/>
        <v>189.27801537095212</v>
      </c>
      <c r="AG26">
        <f t="shared" si="14"/>
        <v>544</v>
      </c>
      <c r="AH26">
        <f t="shared" si="14"/>
        <v>511</v>
      </c>
      <c r="AI26">
        <f t="shared" si="14"/>
        <v>13</v>
      </c>
      <c r="AT26" s="12">
        <f t="shared" ca="1" si="2"/>
        <v>204</v>
      </c>
      <c r="AU26" t="e">
        <f t="shared" si="2"/>
        <v>#N/A</v>
      </c>
      <c r="AV26" t="e">
        <f t="shared" si="2"/>
        <v>#N/A</v>
      </c>
      <c r="AW26" t="e">
        <f t="shared" si="2"/>
        <v>#N/A</v>
      </c>
      <c r="AX26" t="e">
        <f t="shared" si="2"/>
        <v>#N/A</v>
      </c>
      <c r="AY26" t="e">
        <f t="shared" si="2"/>
        <v>#N/A</v>
      </c>
      <c r="AZ26" s="13" t="e">
        <f t="shared" si="2"/>
        <v>#N/A</v>
      </c>
      <c r="BB26">
        <v>98</v>
      </c>
    </row>
    <row r="27" spans="1:54" x14ac:dyDescent="0.45">
      <c r="B27" s="11">
        <v>1</v>
      </c>
      <c r="C27" s="13">
        <v>10</v>
      </c>
      <c r="D27">
        <v>3</v>
      </c>
      <c r="E27">
        <v>1</v>
      </c>
      <c r="F27">
        <f t="shared" si="3"/>
        <v>0</v>
      </c>
      <c r="G27">
        <v>43</v>
      </c>
      <c r="H27" s="13">
        <f t="shared" ca="1" si="4"/>
        <v>0</v>
      </c>
      <c r="I27">
        <f t="shared" ca="1" si="7"/>
        <v>204</v>
      </c>
      <c r="J27">
        <f t="shared" ca="1" si="5"/>
        <v>247</v>
      </c>
      <c r="K27">
        <f t="shared" ca="1" si="8"/>
        <v>0</v>
      </c>
      <c r="L27" t="str">
        <f t="shared" ca="1" si="9"/>
        <v/>
      </c>
      <c r="M27" s="13" t="str">
        <f>IF(B28&lt;&gt;B27,J27-#REF!,"")</f>
        <v/>
      </c>
      <c r="N27">
        <f t="shared" ca="1" si="6"/>
        <v>101</v>
      </c>
      <c r="AA27" s="62"/>
      <c r="AT27" s="12">
        <f t="shared" ca="1" si="2"/>
        <v>247</v>
      </c>
      <c r="AU27" t="e">
        <f t="shared" si="2"/>
        <v>#N/A</v>
      </c>
      <c r="AV27" t="e">
        <f t="shared" si="2"/>
        <v>#N/A</v>
      </c>
      <c r="AW27" t="e">
        <f t="shared" si="2"/>
        <v>#N/A</v>
      </c>
      <c r="AX27" t="e">
        <f t="shared" si="2"/>
        <v>#N/A</v>
      </c>
      <c r="AY27" t="e">
        <f t="shared" si="2"/>
        <v>#N/A</v>
      </c>
      <c r="AZ27" s="13" t="e">
        <f t="shared" si="2"/>
        <v>#N/A</v>
      </c>
      <c r="BB27">
        <v>43</v>
      </c>
    </row>
    <row r="28" spans="1:54" x14ac:dyDescent="0.45">
      <c r="B28" s="11">
        <v>1</v>
      </c>
      <c r="C28" s="13">
        <v>11</v>
      </c>
      <c r="D28">
        <v>4</v>
      </c>
      <c r="E28">
        <v>1</v>
      </c>
      <c r="F28">
        <f t="shared" si="3"/>
        <v>0</v>
      </c>
      <c r="G28">
        <v>101</v>
      </c>
      <c r="H28" s="13">
        <f t="shared" ca="1" si="4"/>
        <v>0</v>
      </c>
      <c r="I28">
        <f t="shared" ca="1" si="7"/>
        <v>247</v>
      </c>
      <c r="J28">
        <f t="shared" ca="1" si="5"/>
        <v>348</v>
      </c>
      <c r="K28">
        <f t="shared" ca="1" si="8"/>
        <v>0</v>
      </c>
      <c r="L28" t="str">
        <f t="shared" ca="1" si="9"/>
        <v/>
      </c>
      <c r="M28" s="13" t="str">
        <f>IF(B29&lt;&gt;B28,J28-#REF!,"")</f>
        <v/>
      </c>
      <c r="N28">
        <f t="shared" ca="1" si="6"/>
        <v>74</v>
      </c>
      <c r="AA28" s="62"/>
      <c r="AB28" t="s">
        <v>94</v>
      </c>
      <c r="AC28" t="s">
        <v>95</v>
      </c>
      <c r="AD28" t="s">
        <v>96</v>
      </c>
      <c r="AE28" t="s">
        <v>97</v>
      </c>
      <c r="AF28" t="s">
        <v>98</v>
      </c>
      <c r="AG28" t="s">
        <v>99</v>
      </c>
      <c r="AH28" t="s">
        <v>100</v>
      </c>
      <c r="AI28" t="s">
        <v>101</v>
      </c>
      <c r="AT28" s="12">
        <f t="shared" ca="1" si="2"/>
        <v>348</v>
      </c>
      <c r="AU28" t="e">
        <f t="shared" si="2"/>
        <v>#N/A</v>
      </c>
      <c r="AV28" t="e">
        <f t="shared" si="2"/>
        <v>#N/A</v>
      </c>
      <c r="AW28" t="e">
        <f t="shared" si="2"/>
        <v>#N/A</v>
      </c>
      <c r="AX28" t="e">
        <f t="shared" si="2"/>
        <v>#N/A</v>
      </c>
      <c r="AY28" t="e">
        <f t="shared" si="2"/>
        <v>#N/A</v>
      </c>
      <c r="AZ28" s="13" t="e">
        <f t="shared" si="2"/>
        <v>#N/A</v>
      </c>
      <c r="BB28">
        <v>101</v>
      </c>
    </row>
    <row r="29" spans="1:54" x14ac:dyDescent="0.45">
      <c r="B29" s="11">
        <v>1</v>
      </c>
      <c r="C29" s="13">
        <v>12</v>
      </c>
      <c r="D29">
        <v>5</v>
      </c>
      <c r="E29">
        <v>1</v>
      </c>
      <c r="F29">
        <f t="shared" si="3"/>
        <v>0</v>
      </c>
      <c r="G29">
        <v>74</v>
      </c>
      <c r="H29" s="13">
        <f t="shared" ca="1" si="4"/>
        <v>0</v>
      </c>
      <c r="I29">
        <f t="shared" ca="1" si="7"/>
        <v>348</v>
      </c>
      <c r="J29">
        <f t="shared" ca="1" si="5"/>
        <v>422</v>
      </c>
      <c r="K29">
        <f t="shared" ca="1" si="8"/>
        <v>0</v>
      </c>
      <c r="L29" t="str">
        <f t="shared" ca="1" si="9"/>
        <v/>
      </c>
      <c r="M29" s="13" t="str">
        <f>IF(B30&lt;&gt;B29,J29-#REF!,"")</f>
        <v/>
      </c>
      <c r="N29">
        <f t="shared" ca="1" si="6"/>
        <v>0</v>
      </c>
      <c r="AA29" s="62"/>
      <c r="AB29">
        <v>1</v>
      </c>
      <c r="AC29">
        <v>559.34693877551024</v>
      </c>
      <c r="AD29">
        <v>40</v>
      </c>
      <c r="AE29">
        <v>1416</v>
      </c>
      <c r="AF29">
        <v>431.02720454984916</v>
      </c>
      <c r="AG29">
        <v>1376</v>
      </c>
      <c r="AH29">
        <v>1046</v>
      </c>
      <c r="AI29">
        <v>12</v>
      </c>
      <c r="AT29" s="12">
        <f t="shared" ca="1" si="2"/>
        <v>422</v>
      </c>
      <c r="AU29" t="e">
        <f t="shared" si="2"/>
        <v>#N/A</v>
      </c>
      <c r="AV29" t="e">
        <f t="shared" si="2"/>
        <v>#N/A</v>
      </c>
      <c r="AW29" t="e">
        <f t="shared" si="2"/>
        <v>#N/A</v>
      </c>
      <c r="AX29" t="e">
        <f t="shared" si="2"/>
        <v>#N/A</v>
      </c>
      <c r="AY29" t="e">
        <f t="shared" si="2"/>
        <v>#N/A</v>
      </c>
      <c r="AZ29" s="13" t="e">
        <f t="shared" si="2"/>
        <v>#N/A</v>
      </c>
      <c r="BB29">
        <v>175</v>
      </c>
    </row>
    <row r="30" spans="1:54" x14ac:dyDescent="0.45">
      <c r="B30" s="11">
        <v>1</v>
      </c>
      <c r="C30" s="13">
        <v>13</v>
      </c>
      <c r="D30">
        <v>6</v>
      </c>
      <c r="E30">
        <v>0</v>
      </c>
      <c r="F30">
        <f t="shared" si="3"/>
        <v>0</v>
      </c>
      <c r="G30">
        <v>0</v>
      </c>
      <c r="H30" s="13">
        <f t="shared" ca="1" si="4"/>
        <v>0</v>
      </c>
      <c r="I30">
        <f t="shared" ca="1" si="7"/>
        <v>422</v>
      </c>
      <c r="J30">
        <f t="shared" ca="1" si="5"/>
        <v>422</v>
      </c>
      <c r="K30">
        <f t="shared" ca="1" si="8"/>
        <v>0</v>
      </c>
      <c r="L30" t="str">
        <f t="shared" ca="1" si="9"/>
        <v/>
      </c>
      <c r="M30" s="13" t="str">
        <f>IF(B31&lt;&gt;B30,J30-#REF!,"")</f>
        <v/>
      </c>
      <c r="N30">
        <f t="shared" ca="1" si="6"/>
        <v>0</v>
      </c>
      <c r="AA30" s="63"/>
      <c r="AB30">
        <v>2</v>
      </c>
      <c r="AC30">
        <v>439.24489795918367</v>
      </c>
      <c r="AD30">
        <v>49</v>
      </c>
      <c r="AE30">
        <v>1098</v>
      </c>
      <c r="AF30">
        <v>302.51707866190372</v>
      </c>
      <c r="AG30">
        <v>1049</v>
      </c>
      <c r="AH30">
        <v>673</v>
      </c>
      <c r="AI30">
        <v>10</v>
      </c>
      <c r="AT30" s="12">
        <f t="shared" ca="1" si="2"/>
        <v>422</v>
      </c>
      <c r="AU30" t="e">
        <f t="shared" si="2"/>
        <v>#N/A</v>
      </c>
      <c r="AV30" t="e">
        <f t="shared" si="2"/>
        <v>#N/A</v>
      </c>
      <c r="AW30" t="e">
        <f t="shared" si="2"/>
        <v>#N/A</v>
      </c>
      <c r="AX30" t="e">
        <f t="shared" si="2"/>
        <v>#N/A</v>
      </c>
      <c r="AY30" t="e">
        <f t="shared" si="2"/>
        <v>#N/A</v>
      </c>
      <c r="AZ30" s="13" t="e">
        <f t="shared" si="2"/>
        <v>#N/A</v>
      </c>
      <c r="BB30">
        <v>175</v>
      </c>
    </row>
    <row r="31" spans="1:54" x14ac:dyDescent="0.45">
      <c r="B31" s="11">
        <v>1</v>
      </c>
      <c r="C31" s="13">
        <v>14</v>
      </c>
      <c r="D31" s="15">
        <v>7</v>
      </c>
      <c r="E31" s="15">
        <v>0</v>
      </c>
      <c r="F31">
        <f t="shared" si="3"/>
        <v>0</v>
      </c>
      <c r="G31" s="15">
        <v>0</v>
      </c>
      <c r="H31" s="13">
        <f t="shared" ca="1" si="4"/>
        <v>0</v>
      </c>
      <c r="I31">
        <f t="shared" ca="1" si="7"/>
        <v>422</v>
      </c>
      <c r="J31">
        <f t="shared" ca="1" si="5"/>
        <v>422</v>
      </c>
      <c r="K31">
        <f t="shared" ca="1" si="8"/>
        <v>0</v>
      </c>
      <c r="L31" t="str">
        <f t="shared" ca="1" si="9"/>
        <v/>
      </c>
      <c r="M31" s="13">
        <f ca="1">IF(B32&lt;&gt;B31,J31-I18,"")</f>
        <v>422</v>
      </c>
      <c r="N31">
        <f t="shared" ca="1" si="6"/>
        <v>-67</v>
      </c>
      <c r="AB31">
        <v>3</v>
      </c>
      <c r="AC31">
        <v>581.12244897959181</v>
      </c>
      <c r="AD31">
        <v>49</v>
      </c>
      <c r="AE31">
        <v>1394</v>
      </c>
      <c r="AF31">
        <v>427.29493865254727</v>
      </c>
      <c r="AG31">
        <v>1345</v>
      </c>
      <c r="AH31">
        <v>889</v>
      </c>
      <c r="AI31">
        <v>12</v>
      </c>
      <c r="AT31" s="12">
        <f t="shared" ca="1" si="2"/>
        <v>422</v>
      </c>
      <c r="AU31" t="e">
        <f t="shared" si="2"/>
        <v>#N/A</v>
      </c>
      <c r="AV31" t="e">
        <f t="shared" si="2"/>
        <v>#N/A</v>
      </c>
      <c r="AW31" t="e">
        <f t="shared" si="2"/>
        <v>#N/A</v>
      </c>
      <c r="AX31" t="e">
        <f t="shared" si="2"/>
        <v>#N/A</v>
      </c>
      <c r="AY31" t="e">
        <f t="shared" si="2"/>
        <v>#N/A</v>
      </c>
      <c r="AZ31" s="13" t="e">
        <f t="shared" si="2"/>
        <v>#N/A</v>
      </c>
      <c r="BB31">
        <v>175</v>
      </c>
    </row>
    <row r="32" spans="1:54" x14ac:dyDescent="0.45">
      <c r="B32" s="11">
        <v>2</v>
      </c>
      <c r="C32" s="13">
        <v>15</v>
      </c>
      <c r="D32" s="8">
        <v>1</v>
      </c>
      <c r="E32" s="8">
        <v>1</v>
      </c>
      <c r="F32">
        <f t="shared" si="3"/>
        <v>1</v>
      </c>
      <c r="G32" s="8">
        <v>71</v>
      </c>
      <c r="H32" s="13">
        <f t="shared" ca="1" si="4"/>
        <v>138</v>
      </c>
      <c r="I32">
        <f t="shared" ca="1" si="7"/>
        <v>422</v>
      </c>
      <c r="J32">
        <f t="shared" ca="1" si="5"/>
        <v>355</v>
      </c>
      <c r="K32">
        <f t="shared" ca="1" si="8"/>
        <v>0</v>
      </c>
      <c r="L32">
        <f t="shared" ca="1" si="9"/>
        <v>138</v>
      </c>
      <c r="M32" s="13" t="str">
        <f>IF(B33&lt;&gt;B32,J32-#REF!,"")</f>
        <v/>
      </c>
      <c r="N32">
        <f t="shared" ca="1" si="6"/>
        <v>-47</v>
      </c>
      <c r="AB32">
        <v>4</v>
      </c>
      <c r="AC32">
        <v>446.31632653061223</v>
      </c>
      <c r="AD32">
        <v>49</v>
      </c>
      <c r="AE32">
        <v>1173</v>
      </c>
      <c r="AF32">
        <v>318.83103121894874</v>
      </c>
      <c r="AG32">
        <v>1124</v>
      </c>
      <c r="AH32">
        <v>673</v>
      </c>
      <c r="AI32">
        <v>15</v>
      </c>
      <c r="AT32" s="12" t="e">
        <f t="shared" si="2"/>
        <v>#N/A</v>
      </c>
      <c r="AU32">
        <f t="shared" ca="1" si="2"/>
        <v>355</v>
      </c>
      <c r="AV32" t="e">
        <f t="shared" si="2"/>
        <v>#N/A</v>
      </c>
      <c r="AW32" t="e">
        <f t="shared" si="2"/>
        <v>#N/A</v>
      </c>
      <c r="AX32" t="e">
        <f t="shared" si="2"/>
        <v>#N/A</v>
      </c>
      <c r="AY32" t="e">
        <f t="shared" si="2"/>
        <v>#N/A</v>
      </c>
      <c r="AZ32" s="13" t="e">
        <f t="shared" si="2"/>
        <v>#N/A</v>
      </c>
      <c r="BB32">
        <v>116</v>
      </c>
    </row>
    <row r="33" spans="2:54" x14ac:dyDescent="0.45">
      <c r="B33" s="11">
        <v>2</v>
      </c>
      <c r="C33" s="13">
        <v>16</v>
      </c>
      <c r="D33">
        <v>2</v>
      </c>
      <c r="E33">
        <v>1</v>
      </c>
      <c r="F33">
        <f t="shared" si="3"/>
        <v>1</v>
      </c>
      <c r="G33">
        <v>79</v>
      </c>
      <c r="H33" s="13">
        <f t="shared" ca="1" si="4"/>
        <v>126</v>
      </c>
      <c r="I33">
        <f t="shared" ca="1" si="7"/>
        <v>355</v>
      </c>
      <c r="J33">
        <f t="shared" ca="1" si="5"/>
        <v>308</v>
      </c>
      <c r="K33">
        <f t="shared" ca="1" si="8"/>
        <v>0</v>
      </c>
      <c r="L33">
        <f t="shared" ca="1" si="9"/>
        <v>126</v>
      </c>
      <c r="M33" s="13" t="str">
        <f>IF(B34&lt;&gt;B33,J33-#REF!,"")</f>
        <v/>
      </c>
      <c r="N33">
        <f t="shared" ca="1" si="6"/>
        <v>-39</v>
      </c>
      <c r="AB33">
        <v>5</v>
      </c>
      <c r="AC33">
        <v>509.91836734693879</v>
      </c>
      <c r="AD33">
        <v>49</v>
      </c>
      <c r="AE33">
        <v>1252</v>
      </c>
      <c r="AF33">
        <v>379.64770655334132</v>
      </c>
      <c r="AG33">
        <v>1203</v>
      </c>
      <c r="AH33">
        <v>790</v>
      </c>
      <c r="AI33">
        <v>11</v>
      </c>
      <c r="AT33" s="12" t="e">
        <f t="shared" si="2"/>
        <v>#N/A</v>
      </c>
      <c r="AU33">
        <f t="shared" ca="1" si="2"/>
        <v>308</v>
      </c>
      <c r="AV33" t="e">
        <f t="shared" si="2"/>
        <v>#N/A</v>
      </c>
      <c r="AW33" t="e">
        <f t="shared" si="2"/>
        <v>#N/A</v>
      </c>
      <c r="AX33" t="e">
        <f t="shared" si="2"/>
        <v>#N/A</v>
      </c>
      <c r="AY33" t="e">
        <f t="shared" si="2"/>
        <v>#N/A</v>
      </c>
      <c r="AZ33" s="13" t="e">
        <f t="shared" si="2"/>
        <v>#N/A</v>
      </c>
      <c r="BB33">
        <v>79</v>
      </c>
    </row>
    <row r="34" spans="2:54" x14ac:dyDescent="0.45">
      <c r="B34" s="11">
        <v>2</v>
      </c>
      <c r="C34" s="13">
        <v>17</v>
      </c>
      <c r="D34">
        <v>3</v>
      </c>
      <c r="E34">
        <v>1</v>
      </c>
      <c r="F34">
        <f t="shared" si="3"/>
        <v>1</v>
      </c>
      <c r="G34">
        <v>84</v>
      </c>
      <c r="H34" s="13">
        <f t="shared" ca="1" si="4"/>
        <v>123</v>
      </c>
      <c r="I34">
        <f t="shared" ca="1" si="7"/>
        <v>308</v>
      </c>
      <c r="J34">
        <f t="shared" ca="1" si="5"/>
        <v>269</v>
      </c>
      <c r="K34">
        <f t="shared" ca="1" si="8"/>
        <v>0</v>
      </c>
      <c r="L34">
        <f t="shared" ca="1" si="9"/>
        <v>123</v>
      </c>
      <c r="M34" s="13" t="str">
        <f>IF(B35&lt;&gt;B34,J34-#REF!,"")</f>
        <v/>
      </c>
      <c r="N34">
        <f t="shared" ca="1" si="6"/>
        <v>-82</v>
      </c>
      <c r="AB34">
        <v>6</v>
      </c>
      <c r="AC34">
        <v>529.8112244897959</v>
      </c>
      <c r="AD34">
        <v>43</v>
      </c>
      <c r="AE34">
        <v>1264</v>
      </c>
      <c r="AF34">
        <v>369.39204061529153</v>
      </c>
      <c r="AG34">
        <v>1221</v>
      </c>
      <c r="AH34">
        <v>907</v>
      </c>
      <c r="AI34">
        <v>8</v>
      </c>
      <c r="AT34" s="12" t="e">
        <f t="shared" ref="AT34:AZ49" si="15">IF($B34=AT$17,$J34,NA())</f>
        <v>#N/A</v>
      </c>
      <c r="AU34">
        <f t="shared" ca="1" si="15"/>
        <v>269</v>
      </c>
      <c r="AV34" t="e">
        <f t="shared" si="15"/>
        <v>#N/A</v>
      </c>
      <c r="AW34" t="e">
        <f t="shared" si="15"/>
        <v>#N/A</v>
      </c>
      <c r="AX34" t="e">
        <f t="shared" si="15"/>
        <v>#N/A</v>
      </c>
      <c r="AY34" t="e">
        <f t="shared" si="15"/>
        <v>#N/A</v>
      </c>
      <c r="AZ34" s="13" t="e">
        <f t="shared" si="15"/>
        <v>#N/A</v>
      </c>
      <c r="BB34">
        <v>84</v>
      </c>
    </row>
    <row r="35" spans="2:54" x14ac:dyDescent="0.45">
      <c r="B35" s="11">
        <v>2</v>
      </c>
      <c r="C35" s="13">
        <v>18</v>
      </c>
      <c r="D35">
        <v>4</v>
      </c>
      <c r="E35">
        <v>1</v>
      </c>
      <c r="F35">
        <f t="shared" si="3"/>
        <v>1</v>
      </c>
      <c r="G35">
        <v>78</v>
      </c>
      <c r="H35" s="13">
        <f t="shared" ca="1" si="4"/>
        <v>160</v>
      </c>
      <c r="I35">
        <f t="shared" ca="1" si="7"/>
        <v>269</v>
      </c>
      <c r="J35">
        <f t="shared" ca="1" si="5"/>
        <v>187</v>
      </c>
      <c r="K35">
        <f t="shared" ca="1" si="8"/>
        <v>0</v>
      </c>
      <c r="L35">
        <f t="shared" ca="1" si="9"/>
        <v>160</v>
      </c>
      <c r="M35" s="13" t="str">
        <f t="shared" ref="M35:M41" si="16">IF(B36&lt;&gt;B35,J35-I1,"")</f>
        <v/>
      </c>
      <c r="N35">
        <f t="shared" ca="1" si="6"/>
        <v>107</v>
      </c>
      <c r="AB35">
        <v>7</v>
      </c>
      <c r="AC35">
        <v>584.2295918367347</v>
      </c>
      <c r="AD35">
        <v>51</v>
      </c>
      <c r="AE35">
        <v>1332</v>
      </c>
      <c r="AF35">
        <v>410.67815163015922</v>
      </c>
      <c r="AG35">
        <v>1281</v>
      </c>
      <c r="AH35">
        <v>952</v>
      </c>
      <c r="AI35">
        <v>13</v>
      </c>
      <c r="AT35" s="12" t="e">
        <f t="shared" si="15"/>
        <v>#N/A</v>
      </c>
      <c r="AU35">
        <f t="shared" ca="1" si="15"/>
        <v>187</v>
      </c>
      <c r="AV35" t="e">
        <f t="shared" si="15"/>
        <v>#N/A</v>
      </c>
      <c r="AW35" t="e">
        <f t="shared" si="15"/>
        <v>#N/A</v>
      </c>
      <c r="AX35" t="e">
        <f t="shared" si="15"/>
        <v>#N/A</v>
      </c>
      <c r="AY35" t="e">
        <f t="shared" si="15"/>
        <v>#N/A</v>
      </c>
      <c r="AZ35" s="13" t="e">
        <f t="shared" si="15"/>
        <v>#N/A</v>
      </c>
      <c r="BB35">
        <v>78</v>
      </c>
    </row>
    <row r="36" spans="2:54" x14ac:dyDescent="0.45">
      <c r="B36" s="11">
        <v>2</v>
      </c>
      <c r="C36" s="13">
        <v>19</v>
      </c>
      <c r="D36">
        <v>5</v>
      </c>
      <c r="E36">
        <v>1</v>
      </c>
      <c r="F36">
        <f t="shared" si="3"/>
        <v>0</v>
      </c>
      <c r="G36">
        <v>107</v>
      </c>
      <c r="H36" s="13">
        <f t="shared" ca="1" si="4"/>
        <v>0</v>
      </c>
      <c r="I36">
        <f t="shared" ca="1" si="7"/>
        <v>187</v>
      </c>
      <c r="J36">
        <f t="shared" ca="1" si="5"/>
        <v>294</v>
      </c>
      <c r="K36">
        <f t="shared" ca="1" si="8"/>
        <v>0</v>
      </c>
      <c r="L36" t="str">
        <f t="shared" ca="1" si="9"/>
        <v/>
      </c>
      <c r="M36" s="13" t="str">
        <f t="shared" si="16"/>
        <v/>
      </c>
      <c r="N36">
        <f t="shared" ca="1" si="6"/>
        <v>0</v>
      </c>
      <c r="AB36">
        <v>8</v>
      </c>
      <c r="AC36">
        <v>555.5204081632653</v>
      </c>
      <c r="AD36">
        <v>32</v>
      </c>
      <c r="AE36">
        <v>1311</v>
      </c>
      <c r="AF36">
        <v>397.4792442172382</v>
      </c>
      <c r="AG36">
        <v>1279</v>
      </c>
      <c r="AH36">
        <v>938</v>
      </c>
      <c r="AI36">
        <v>10</v>
      </c>
      <c r="AT36" s="12" t="e">
        <f t="shared" si="15"/>
        <v>#N/A</v>
      </c>
      <c r="AU36">
        <f t="shared" ca="1" si="15"/>
        <v>294</v>
      </c>
      <c r="AV36" t="e">
        <f t="shared" si="15"/>
        <v>#N/A</v>
      </c>
      <c r="AW36" t="e">
        <f t="shared" si="15"/>
        <v>#N/A</v>
      </c>
      <c r="AX36" t="e">
        <f t="shared" si="15"/>
        <v>#N/A</v>
      </c>
      <c r="AY36" t="e">
        <f t="shared" si="15"/>
        <v>#N/A</v>
      </c>
      <c r="AZ36" s="13" t="e">
        <f t="shared" si="15"/>
        <v>#N/A</v>
      </c>
      <c r="BB36">
        <v>185</v>
      </c>
    </row>
    <row r="37" spans="2:54" x14ac:dyDescent="0.45">
      <c r="B37" s="11">
        <v>2</v>
      </c>
      <c r="C37" s="13">
        <v>20</v>
      </c>
      <c r="D37">
        <v>6</v>
      </c>
      <c r="E37">
        <v>0</v>
      </c>
      <c r="F37">
        <f t="shared" si="3"/>
        <v>0</v>
      </c>
      <c r="G37">
        <v>0</v>
      </c>
      <c r="H37" s="13">
        <f t="shared" ca="1" si="4"/>
        <v>0</v>
      </c>
      <c r="I37">
        <f t="shared" ca="1" si="7"/>
        <v>294</v>
      </c>
      <c r="J37">
        <f t="shared" ca="1" si="5"/>
        <v>294</v>
      </c>
      <c r="K37">
        <f t="shared" ca="1" si="8"/>
        <v>0</v>
      </c>
      <c r="L37" t="str">
        <f t="shared" ca="1" si="9"/>
        <v/>
      </c>
      <c r="M37" s="13" t="str">
        <f t="shared" si="16"/>
        <v/>
      </c>
      <c r="N37">
        <f t="shared" ca="1" si="6"/>
        <v>0</v>
      </c>
      <c r="AB37">
        <v>9</v>
      </c>
      <c r="AC37">
        <v>531.84183673469386</v>
      </c>
      <c r="AD37">
        <v>54</v>
      </c>
      <c r="AE37">
        <v>1327</v>
      </c>
      <c r="AF37">
        <v>407.94193575013247</v>
      </c>
      <c r="AG37">
        <v>1273</v>
      </c>
      <c r="AH37">
        <v>907</v>
      </c>
      <c r="AI37">
        <v>13</v>
      </c>
      <c r="AT37" s="12" t="e">
        <f t="shared" si="15"/>
        <v>#N/A</v>
      </c>
      <c r="AU37">
        <f t="shared" ca="1" si="15"/>
        <v>294</v>
      </c>
      <c r="AV37" t="e">
        <f t="shared" si="15"/>
        <v>#N/A</v>
      </c>
      <c r="AW37" t="e">
        <f t="shared" si="15"/>
        <v>#N/A</v>
      </c>
      <c r="AX37" t="e">
        <f t="shared" si="15"/>
        <v>#N/A</v>
      </c>
      <c r="AY37" t="e">
        <f t="shared" si="15"/>
        <v>#N/A</v>
      </c>
      <c r="AZ37" s="13" t="e">
        <f t="shared" si="15"/>
        <v>#N/A</v>
      </c>
      <c r="BB37">
        <v>185</v>
      </c>
    </row>
    <row r="38" spans="2:54" x14ac:dyDescent="0.45">
      <c r="B38" s="11">
        <v>2</v>
      </c>
      <c r="C38" s="13">
        <v>21</v>
      </c>
      <c r="D38" s="15">
        <v>7</v>
      </c>
      <c r="E38" s="15">
        <v>0</v>
      </c>
      <c r="F38">
        <f t="shared" si="3"/>
        <v>0</v>
      </c>
      <c r="G38" s="15">
        <v>0</v>
      </c>
      <c r="H38" s="13">
        <f t="shared" ca="1" si="4"/>
        <v>0</v>
      </c>
      <c r="I38">
        <f t="shared" ca="1" si="7"/>
        <v>294</v>
      </c>
      <c r="J38">
        <f t="shared" ca="1" si="5"/>
        <v>294</v>
      </c>
      <c r="K38">
        <f t="shared" ca="1" si="8"/>
        <v>0</v>
      </c>
      <c r="L38" t="str">
        <f t="shared" ca="1" si="9"/>
        <v/>
      </c>
      <c r="M38" s="13" t="str">
        <f t="shared" si="16"/>
        <v/>
      </c>
      <c r="N38">
        <f t="shared" ca="1" si="6"/>
        <v>-45</v>
      </c>
      <c r="AB38">
        <v>10</v>
      </c>
      <c r="AC38">
        <v>493.39795918367349</v>
      </c>
      <c r="AD38">
        <v>49</v>
      </c>
      <c r="AE38">
        <v>1251</v>
      </c>
      <c r="AF38">
        <v>363.84220171791111</v>
      </c>
      <c r="AG38">
        <v>1202</v>
      </c>
      <c r="AH38">
        <v>848</v>
      </c>
      <c r="AI38">
        <v>16</v>
      </c>
      <c r="AT38" s="12" t="e">
        <f t="shared" si="15"/>
        <v>#N/A</v>
      </c>
      <c r="AU38">
        <f t="shared" ca="1" si="15"/>
        <v>294</v>
      </c>
      <c r="AV38" t="e">
        <f t="shared" si="15"/>
        <v>#N/A</v>
      </c>
      <c r="AW38" t="e">
        <f t="shared" si="15"/>
        <v>#N/A</v>
      </c>
      <c r="AX38" t="e">
        <f t="shared" si="15"/>
        <v>#N/A</v>
      </c>
      <c r="AY38" t="e">
        <f t="shared" si="15"/>
        <v>#N/A</v>
      </c>
      <c r="AZ38" s="13" t="e">
        <f t="shared" si="15"/>
        <v>#N/A</v>
      </c>
      <c r="BB38">
        <v>185</v>
      </c>
    </row>
    <row r="39" spans="2:54" x14ac:dyDescent="0.45">
      <c r="B39" s="11">
        <v>2</v>
      </c>
      <c r="C39" s="13">
        <v>22</v>
      </c>
      <c r="D39" s="8">
        <v>1</v>
      </c>
      <c r="E39" s="8">
        <v>1</v>
      </c>
      <c r="F39">
        <f t="shared" si="3"/>
        <v>1</v>
      </c>
      <c r="G39" s="8">
        <v>102</v>
      </c>
      <c r="H39" s="13">
        <f t="shared" ca="1" si="4"/>
        <v>147</v>
      </c>
      <c r="I39">
        <f t="shared" ca="1" si="7"/>
        <v>294</v>
      </c>
      <c r="J39">
        <f t="shared" ca="1" si="5"/>
        <v>249</v>
      </c>
      <c r="K39">
        <f t="shared" ca="1" si="8"/>
        <v>0</v>
      </c>
      <c r="L39">
        <f t="shared" ca="1" si="9"/>
        <v>147</v>
      </c>
      <c r="M39" s="13" t="str">
        <f t="shared" si="16"/>
        <v/>
      </c>
      <c r="N39">
        <f t="shared" ca="1" si="6"/>
        <v>-43</v>
      </c>
      <c r="AB39">
        <v>11</v>
      </c>
      <c r="AC39">
        <v>570.9795918367347</v>
      </c>
      <c r="AD39">
        <v>11</v>
      </c>
      <c r="AE39">
        <v>1355</v>
      </c>
      <c r="AF39">
        <v>413.40867707074608</v>
      </c>
      <c r="AG39">
        <v>1344</v>
      </c>
      <c r="AH39">
        <v>992</v>
      </c>
      <c r="AI39">
        <v>9</v>
      </c>
      <c r="AT39" s="12" t="e">
        <f t="shared" si="15"/>
        <v>#N/A</v>
      </c>
      <c r="AU39">
        <f t="shared" ca="1" si="15"/>
        <v>249</v>
      </c>
      <c r="AV39" t="e">
        <f t="shared" si="15"/>
        <v>#N/A</v>
      </c>
      <c r="AW39" t="e">
        <f t="shared" si="15"/>
        <v>#N/A</v>
      </c>
      <c r="AX39" t="e">
        <f t="shared" si="15"/>
        <v>#N/A</v>
      </c>
      <c r="AY39" t="e">
        <f t="shared" si="15"/>
        <v>#N/A</v>
      </c>
      <c r="AZ39" s="13" t="e">
        <f t="shared" si="15"/>
        <v>#N/A</v>
      </c>
      <c r="BB39">
        <v>157</v>
      </c>
    </row>
    <row r="40" spans="2:54" x14ac:dyDescent="0.45">
      <c r="B40" s="11">
        <v>2</v>
      </c>
      <c r="C40" s="13">
        <v>23</v>
      </c>
      <c r="D40">
        <v>2</v>
      </c>
      <c r="E40">
        <v>1</v>
      </c>
      <c r="F40">
        <f t="shared" si="3"/>
        <v>1</v>
      </c>
      <c r="G40">
        <v>84</v>
      </c>
      <c r="H40" s="13">
        <f t="shared" ca="1" si="4"/>
        <v>127</v>
      </c>
      <c r="I40">
        <f t="shared" ca="1" si="7"/>
        <v>249</v>
      </c>
      <c r="J40">
        <f t="shared" ca="1" si="5"/>
        <v>206</v>
      </c>
      <c r="K40">
        <f t="shared" ca="1" si="8"/>
        <v>0</v>
      </c>
      <c r="L40">
        <f t="shared" ca="1" si="9"/>
        <v>127</v>
      </c>
      <c r="M40" s="13" t="str">
        <f t="shared" si="16"/>
        <v/>
      </c>
      <c r="N40">
        <f t="shared" ca="1" si="6"/>
        <v>-72</v>
      </c>
      <c r="AB40">
        <v>12</v>
      </c>
      <c r="AC40">
        <v>536.03061224489795</v>
      </c>
      <c r="AD40">
        <v>18</v>
      </c>
      <c r="AE40">
        <v>1333</v>
      </c>
      <c r="AF40">
        <v>396.24932766521556</v>
      </c>
      <c r="AG40">
        <v>1315</v>
      </c>
      <c r="AH40">
        <v>955</v>
      </c>
      <c r="AI40">
        <v>9</v>
      </c>
      <c r="AT40" s="12" t="e">
        <f t="shared" si="15"/>
        <v>#N/A</v>
      </c>
      <c r="AU40">
        <f t="shared" ca="1" si="15"/>
        <v>206</v>
      </c>
      <c r="AV40" t="e">
        <f t="shared" si="15"/>
        <v>#N/A</v>
      </c>
      <c r="AW40" t="e">
        <f t="shared" si="15"/>
        <v>#N/A</v>
      </c>
      <c r="AX40" t="e">
        <f t="shared" si="15"/>
        <v>#N/A</v>
      </c>
      <c r="AY40" t="e">
        <f t="shared" si="15"/>
        <v>#N/A</v>
      </c>
      <c r="AZ40" s="13" t="e">
        <f t="shared" si="15"/>
        <v>#N/A</v>
      </c>
      <c r="BB40">
        <v>111</v>
      </c>
    </row>
    <row r="41" spans="2:54" x14ac:dyDescent="0.45">
      <c r="B41" s="11">
        <v>2</v>
      </c>
      <c r="C41" s="13">
        <v>24</v>
      </c>
      <c r="D41">
        <v>3</v>
      </c>
      <c r="E41">
        <v>1</v>
      </c>
      <c r="F41">
        <f t="shared" si="3"/>
        <v>1</v>
      </c>
      <c r="G41">
        <v>79</v>
      </c>
      <c r="H41" s="13">
        <f t="shared" ca="1" si="4"/>
        <v>151</v>
      </c>
      <c r="I41">
        <f t="shared" ca="1" si="7"/>
        <v>206</v>
      </c>
      <c r="J41">
        <f t="shared" ca="1" si="5"/>
        <v>134</v>
      </c>
      <c r="K41">
        <f t="shared" ca="1" si="8"/>
        <v>0</v>
      </c>
      <c r="L41">
        <f t="shared" ca="1" si="9"/>
        <v>151</v>
      </c>
      <c r="M41" s="13" t="str">
        <f t="shared" si="16"/>
        <v/>
      </c>
      <c r="N41">
        <f t="shared" ca="1" si="6"/>
        <v>-24</v>
      </c>
      <c r="AB41">
        <v>13</v>
      </c>
      <c r="AC41">
        <v>497.76020408163265</v>
      </c>
      <c r="AD41">
        <v>34</v>
      </c>
      <c r="AE41">
        <v>1211</v>
      </c>
      <c r="AF41">
        <v>351.19068407284124</v>
      </c>
      <c r="AG41">
        <v>1177</v>
      </c>
      <c r="AH41">
        <v>665</v>
      </c>
      <c r="AI41">
        <v>13</v>
      </c>
      <c r="AT41" s="12" t="e">
        <f t="shared" si="15"/>
        <v>#N/A</v>
      </c>
      <c r="AU41">
        <f t="shared" ca="1" si="15"/>
        <v>134</v>
      </c>
      <c r="AV41" t="e">
        <f t="shared" si="15"/>
        <v>#N/A</v>
      </c>
      <c r="AW41" t="e">
        <f t="shared" si="15"/>
        <v>#N/A</v>
      </c>
      <c r="AX41" t="e">
        <f t="shared" si="15"/>
        <v>#N/A</v>
      </c>
      <c r="AY41" t="e">
        <f t="shared" si="15"/>
        <v>#N/A</v>
      </c>
      <c r="AZ41" s="13" t="e">
        <f t="shared" si="15"/>
        <v>#N/A</v>
      </c>
      <c r="BB41">
        <v>79</v>
      </c>
    </row>
    <row r="42" spans="2:54" x14ac:dyDescent="0.45">
      <c r="B42" s="11">
        <v>2</v>
      </c>
      <c r="C42" s="13">
        <v>25</v>
      </c>
      <c r="D42">
        <v>4</v>
      </c>
      <c r="E42">
        <v>1</v>
      </c>
      <c r="F42">
        <f t="shared" si="3"/>
        <v>1</v>
      </c>
      <c r="G42">
        <v>110</v>
      </c>
      <c r="H42" s="13">
        <f t="shared" ca="1" si="4"/>
        <v>134</v>
      </c>
      <c r="I42">
        <f t="shared" ca="1" si="7"/>
        <v>134</v>
      </c>
      <c r="J42">
        <f t="shared" ca="1" si="5"/>
        <v>110</v>
      </c>
      <c r="K42">
        <f t="shared" ca="1" si="8"/>
        <v>1</v>
      </c>
      <c r="L42" t="str">
        <f t="shared" ca="1" si="9"/>
        <v/>
      </c>
      <c r="M42" s="13" t="str">
        <f>IF(B43&lt;&gt;B42,J42-#REF!,"")</f>
        <v/>
      </c>
      <c r="N42">
        <f t="shared" ca="1" si="6"/>
        <v>106</v>
      </c>
      <c r="AB42">
        <v>14</v>
      </c>
      <c r="AC42">
        <v>514.01530612244903</v>
      </c>
      <c r="AD42">
        <v>63</v>
      </c>
      <c r="AE42">
        <v>1250</v>
      </c>
      <c r="AF42">
        <v>381.9986173316255</v>
      </c>
      <c r="AG42">
        <v>1187</v>
      </c>
      <c r="AH42">
        <v>925</v>
      </c>
      <c r="AI42">
        <v>13</v>
      </c>
      <c r="AT42" s="12" t="e">
        <f t="shared" si="15"/>
        <v>#N/A</v>
      </c>
      <c r="AU42">
        <f t="shared" ca="1" si="15"/>
        <v>110</v>
      </c>
      <c r="AV42" t="e">
        <f t="shared" si="15"/>
        <v>#N/A</v>
      </c>
      <c r="AW42" t="e">
        <f t="shared" si="15"/>
        <v>#N/A</v>
      </c>
      <c r="AX42" t="e">
        <f t="shared" si="15"/>
        <v>#N/A</v>
      </c>
      <c r="AY42" t="e">
        <f t="shared" si="15"/>
        <v>#N/A</v>
      </c>
      <c r="AZ42" s="13" t="e">
        <f t="shared" si="15"/>
        <v>#N/A</v>
      </c>
      <c r="BB42">
        <v>110</v>
      </c>
    </row>
    <row r="43" spans="2:54" x14ac:dyDescent="0.45">
      <c r="B43" s="11">
        <v>2</v>
      </c>
      <c r="C43" s="13">
        <v>26</v>
      </c>
      <c r="D43">
        <v>5</v>
      </c>
      <c r="E43">
        <v>1</v>
      </c>
      <c r="F43">
        <f t="shared" si="3"/>
        <v>0</v>
      </c>
      <c r="G43">
        <v>106</v>
      </c>
      <c r="H43" s="13">
        <f t="shared" ca="1" si="4"/>
        <v>0</v>
      </c>
      <c r="I43">
        <f t="shared" ca="1" si="7"/>
        <v>110</v>
      </c>
      <c r="J43">
        <f t="shared" ca="1" si="5"/>
        <v>216</v>
      </c>
      <c r="K43">
        <f t="shared" ca="1" si="8"/>
        <v>0</v>
      </c>
      <c r="L43" t="str">
        <f t="shared" ca="1" si="9"/>
        <v/>
      </c>
      <c r="M43" s="13" t="str">
        <f t="shared" ref="M43:M44" si="17">IF(B44&lt;&gt;B43,J43-I16,"")</f>
        <v/>
      </c>
      <c r="N43">
        <f t="shared" ca="1" si="6"/>
        <v>0</v>
      </c>
      <c r="AB43">
        <v>15</v>
      </c>
      <c r="AC43">
        <v>543.94897959183675</v>
      </c>
      <c r="AD43">
        <v>49</v>
      </c>
      <c r="AE43">
        <v>1352</v>
      </c>
      <c r="AF43">
        <v>408.99358491174252</v>
      </c>
      <c r="AG43">
        <v>1303</v>
      </c>
      <c r="AH43">
        <v>933</v>
      </c>
      <c r="AI43">
        <v>16</v>
      </c>
      <c r="AT43" s="12" t="e">
        <f t="shared" si="15"/>
        <v>#N/A</v>
      </c>
      <c r="AU43">
        <f t="shared" ca="1" si="15"/>
        <v>216</v>
      </c>
      <c r="AV43" t="e">
        <f t="shared" si="15"/>
        <v>#N/A</v>
      </c>
      <c r="AW43" t="e">
        <f t="shared" si="15"/>
        <v>#N/A</v>
      </c>
      <c r="AX43" t="e">
        <f t="shared" si="15"/>
        <v>#N/A</v>
      </c>
      <c r="AY43" t="e">
        <f t="shared" si="15"/>
        <v>#N/A</v>
      </c>
      <c r="AZ43" s="13" t="e">
        <f t="shared" si="15"/>
        <v>#N/A</v>
      </c>
      <c r="BB43">
        <v>216</v>
      </c>
    </row>
    <row r="44" spans="2:54" x14ac:dyDescent="0.45">
      <c r="B44" s="11">
        <v>2</v>
      </c>
      <c r="C44" s="13">
        <v>27</v>
      </c>
      <c r="D44">
        <v>6</v>
      </c>
      <c r="E44">
        <v>0</v>
      </c>
      <c r="F44">
        <f t="shared" si="3"/>
        <v>0</v>
      </c>
      <c r="G44">
        <v>0</v>
      </c>
      <c r="H44" s="13">
        <f t="shared" ca="1" si="4"/>
        <v>0</v>
      </c>
      <c r="I44">
        <f t="shared" ca="1" si="7"/>
        <v>216</v>
      </c>
      <c r="J44">
        <f t="shared" ca="1" si="5"/>
        <v>216</v>
      </c>
      <c r="K44">
        <f t="shared" ca="1" si="8"/>
        <v>0</v>
      </c>
      <c r="L44" t="str">
        <f t="shared" ca="1" si="9"/>
        <v/>
      </c>
      <c r="M44" s="13" t="str">
        <f t="shared" si="17"/>
        <v/>
      </c>
      <c r="N44">
        <f t="shared" ca="1" si="6"/>
        <v>0</v>
      </c>
      <c r="AB44">
        <v>16</v>
      </c>
      <c r="AC44">
        <v>547.80102040816325</v>
      </c>
      <c r="AD44">
        <v>49</v>
      </c>
      <c r="AE44">
        <v>1336</v>
      </c>
      <c r="AF44">
        <v>415.49695619968588</v>
      </c>
      <c r="AG44">
        <v>1287</v>
      </c>
      <c r="AH44">
        <v>950</v>
      </c>
      <c r="AI44">
        <v>16</v>
      </c>
      <c r="AT44" s="12" t="e">
        <f t="shared" si="15"/>
        <v>#N/A</v>
      </c>
      <c r="AU44">
        <f t="shared" ca="1" si="15"/>
        <v>216</v>
      </c>
      <c r="AV44" t="e">
        <f t="shared" si="15"/>
        <v>#N/A</v>
      </c>
      <c r="AW44" t="e">
        <f t="shared" si="15"/>
        <v>#N/A</v>
      </c>
      <c r="AX44" t="e">
        <f t="shared" si="15"/>
        <v>#N/A</v>
      </c>
      <c r="AY44" t="e">
        <f t="shared" si="15"/>
        <v>#N/A</v>
      </c>
      <c r="AZ44" s="13" t="e">
        <f t="shared" si="15"/>
        <v>#N/A</v>
      </c>
      <c r="BB44">
        <v>216</v>
      </c>
    </row>
    <row r="45" spans="2:54" x14ac:dyDescent="0.45">
      <c r="B45" s="17">
        <v>2</v>
      </c>
      <c r="C45" s="13">
        <v>28</v>
      </c>
      <c r="D45" s="15">
        <v>7</v>
      </c>
      <c r="E45" s="15">
        <v>0</v>
      </c>
      <c r="F45">
        <f t="shared" si="3"/>
        <v>0</v>
      </c>
      <c r="G45" s="15">
        <v>0</v>
      </c>
      <c r="H45" s="13">
        <f t="shared" ca="1" si="4"/>
        <v>0</v>
      </c>
      <c r="I45">
        <f t="shared" ca="1" si="7"/>
        <v>216</v>
      </c>
      <c r="J45">
        <f t="shared" ca="1" si="5"/>
        <v>216</v>
      </c>
      <c r="K45">
        <f t="shared" ca="1" si="8"/>
        <v>0</v>
      </c>
      <c r="L45" t="str">
        <f t="shared" ca="1" si="9"/>
        <v/>
      </c>
      <c r="M45" s="13">
        <f ca="1">IF(B46&lt;&gt;B45,J45-I18,"")</f>
        <v>216</v>
      </c>
      <c r="N45">
        <f t="shared" ca="1" si="6"/>
        <v>-52</v>
      </c>
      <c r="AB45">
        <v>17</v>
      </c>
      <c r="AC45">
        <v>516.86734693877554</v>
      </c>
      <c r="AD45">
        <v>69</v>
      </c>
      <c r="AE45">
        <v>1343</v>
      </c>
      <c r="AF45">
        <v>382.91588402663587</v>
      </c>
      <c r="AG45">
        <v>1274</v>
      </c>
      <c r="AH45">
        <v>968</v>
      </c>
      <c r="AI45">
        <v>12</v>
      </c>
      <c r="AT45" s="12" t="e">
        <f t="shared" si="15"/>
        <v>#N/A</v>
      </c>
      <c r="AU45">
        <f t="shared" ca="1" si="15"/>
        <v>216</v>
      </c>
      <c r="AV45" t="e">
        <f t="shared" si="15"/>
        <v>#N/A</v>
      </c>
      <c r="AW45" t="e">
        <f t="shared" si="15"/>
        <v>#N/A</v>
      </c>
      <c r="AX45" t="e">
        <f t="shared" si="15"/>
        <v>#N/A</v>
      </c>
      <c r="AY45" t="e">
        <f t="shared" si="15"/>
        <v>#N/A</v>
      </c>
      <c r="AZ45" s="13" t="e">
        <f t="shared" si="15"/>
        <v>#N/A</v>
      </c>
      <c r="BB45">
        <v>216</v>
      </c>
    </row>
    <row r="46" spans="2:54" x14ac:dyDescent="0.45">
      <c r="B46" s="7">
        <v>3</v>
      </c>
      <c r="C46" s="13">
        <v>29</v>
      </c>
      <c r="D46" s="8">
        <v>1</v>
      </c>
      <c r="E46" s="8">
        <v>1</v>
      </c>
      <c r="F46">
        <f t="shared" si="3"/>
        <v>1</v>
      </c>
      <c r="G46" s="8">
        <v>93</v>
      </c>
      <c r="H46" s="13">
        <f t="shared" ca="1" si="4"/>
        <v>145</v>
      </c>
      <c r="I46">
        <f t="shared" ca="1" si="7"/>
        <v>216</v>
      </c>
      <c r="J46">
        <f t="shared" ca="1" si="5"/>
        <v>164</v>
      </c>
      <c r="K46">
        <f t="shared" ca="1" si="8"/>
        <v>0</v>
      </c>
      <c r="L46">
        <f t="shared" ca="1" si="9"/>
        <v>145</v>
      </c>
      <c r="M46" s="13" t="str">
        <f t="shared" ref="M46:M109" si="18">IF(B47&lt;&gt;B46,J46-I19,"")</f>
        <v/>
      </c>
      <c r="N46">
        <f t="shared" ca="1" si="6"/>
        <v>-10</v>
      </c>
      <c r="AB46">
        <v>18</v>
      </c>
      <c r="AC46">
        <v>511.75510204081633</v>
      </c>
      <c r="AD46">
        <v>35</v>
      </c>
      <c r="AE46">
        <v>1200</v>
      </c>
      <c r="AF46">
        <v>348.98725376479825</v>
      </c>
      <c r="AG46">
        <v>1165</v>
      </c>
      <c r="AH46">
        <v>791</v>
      </c>
      <c r="AI46">
        <v>15</v>
      </c>
      <c r="AT46" s="12" t="e">
        <f t="shared" si="15"/>
        <v>#N/A</v>
      </c>
      <c r="AU46" t="e">
        <f t="shared" si="15"/>
        <v>#N/A</v>
      </c>
      <c r="AV46">
        <f t="shared" ca="1" si="15"/>
        <v>164</v>
      </c>
      <c r="AW46" t="e">
        <f t="shared" si="15"/>
        <v>#N/A</v>
      </c>
      <c r="AX46" t="e">
        <f t="shared" si="15"/>
        <v>#N/A</v>
      </c>
      <c r="AY46" t="e">
        <f t="shared" si="15"/>
        <v>#N/A</v>
      </c>
      <c r="AZ46" s="13" t="e">
        <f t="shared" si="15"/>
        <v>#N/A</v>
      </c>
      <c r="BB46">
        <v>179</v>
      </c>
    </row>
    <row r="47" spans="2:54" x14ac:dyDescent="0.45">
      <c r="B47" s="11">
        <v>3</v>
      </c>
      <c r="C47" s="13">
        <v>30</v>
      </c>
      <c r="D47">
        <v>2</v>
      </c>
      <c r="E47">
        <v>1</v>
      </c>
      <c r="F47">
        <f t="shared" si="3"/>
        <v>1</v>
      </c>
      <c r="G47">
        <v>113</v>
      </c>
      <c r="H47" s="13">
        <f t="shared" ca="1" si="4"/>
        <v>123</v>
      </c>
      <c r="I47">
        <f t="shared" ca="1" si="7"/>
        <v>164</v>
      </c>
      <c r="J47">
        <f t="shared" ca="1" si="5"/>
        <v>154</v>
      </c>
      <c r="K47">
        <f t="shared" ca="1" si="8"/>
        <v>0</v>
      </c>
      <c r="L47">
        <f t="shared" ca="1" si="9"/>
        <v>123</v>
      </c>
      <c r="M47" s="13" t="str">
        <f t="shared" si="18"/>
        <v/>
      </c>
      <c r="N47">
        <f t="shared" ca="1" si="6"/>
        <v>-101</v>
      </c>
      <c r="AB47">
        <v>19</v>
      </c>
      <c r="AC47">
        <v>489.60714285714283</v>
      </c>
      <c r="AD47">
        <v>37</v>
      </c>
      <c r="AE47">
        <v>1218</v>
      </c>
      <c r="AF47">
        <v>338.56400496683585</v>
      </c>
      <c r="AG47">
        <v>1181</v>
      </c>
      <c r="AH47">
        <v>812</v>
      </c>
      <c r="AI47">
        <v>13</v>
      </c>
      <c r="AT47" s="12" t="e">
        <f t="shared" si="15"/>
        <v>#N/A</v>
      </c>
      <c r="AU47" t="e">
        <f t="shared" si="15"/>
        <v>#N/A</v>
      </c>
      <c r="AV47">
        <f t="shared" ca="1" si="15"/>
        <v>154</v>
      </c>
      <c r="AW47" t="e">
        <f t="shared" si="15"/>
        <v>#N/A</v>
      </c>
      <c r="AX47" t="e">
        <f t="shared" si="15"/>
        <v>#N/A</v>
      </c>
      <c r="AY47" t="e">
        <f t="shared" si="15"/>
        <v>#N/A</v>
      </c>
      <c r="AZ47" s="13" t="e">
        <f t="shared" si="15"/>
        <v>#N/A</v>
      </c>
      <c r="BB47">
        <v>162</v>
      </c>
    </row>
    <row r="48" spans="2:54" x14ac:dyDescent="0.45">
      <c r="B48" s="11">
        <v>3</v>
      </c>
      <c r="C48" s="13">
        <v>31</v>
      </c>
      <c r="D48">
        <v>3</v>
      </c>
      <c r="E48">
        <v>1</v>
      </c>
      <c r="F48">
        <f t="shared" si="3"/>
        <v>1</v>
      </c>
      <c r="G48">
        <v>49</v>
      </c>
      <c r="H48" s="13">
        <f t="shared" ca="1" si="4"/>
        <v>150</v>
      </c>
      <c r="I48">
        <f t="shared" ca="1" si="7"/>
        <v>154</v>
      </c>
      <c r="J48">
        <f t="shared" ca="1" si="5"/>
        <v>53</v>
      </c>
      <c r="K48">
        <f t="shared" ca="1" si="8"/>
        <v>0</v>
      </c>
      <c r="L48">
        <f t="shared" ca="1" si="9"/>
        <v>150</v>
      </c>
      <c r="M48" s="13" t="str">
        <f t="shared" si="18"/>
        <v/>
      </c>
      <c r="N48">
        <f t="shared" ca="1" si="6"/>
        <v>99</v>
      </c>
      <c r="AB48">
        <v>20</v>
      </c>
      <c r="AC48">
        <v>549.33163265306121</v>
      </c>
      <c r="AD48">
        <v>23</v>
      </c>
      <c r="AE48">
        <v>1353</v>
      </c>
      <c r="AF48">
        <v>399.53676904097551</v>
      </c>
      <c r="AG48">
        <v>1330</v>
      </c>
      <c r="AH48">
        <v>952</v>
      </c>
      <c r="AI48">
        <v>7</v>
      </c>
      <c r="AT48" s="12" t="e">
        <f t="shared" si="15"/>
        <v>#N/A</v>
      </c>
      <c r="AU48" t="e">
        <f t="shared" si="15"/>
        <v>#N/A</v>
      </c>
      <c r="AV48">
        <f t="shared" ca="1" si="15"/>
        <v>53</v>
      </c>
      <c r="AW48" t="e">
        <f t="shared" si="15"/>
        <v>#N/A</v>
      </c>
      <c r="AX48" t="e">
        <f t="shared" si="15"/>
        <v>#N/A</v>
      </c>
      <c r="AY48" t="e">
        <f t="shared" si="15"/>
        <v>#N/A</v>
      </c>
      <c r="AZ48" s="13" t="e">
        <f t="shared" si="15"/>
        <v>#N/A</v>
      </c>
      <c r="BB48">
        <v>81</v>
      </c>
    </row>
    <row r="49" spans="2:54" x14ac:dyDescent="0.45">
      <c r="B49" s="11">
        <v>3</v>
      </c>
      <c r="C49" s="13">
        <v>32</v>
      </c>
      <c r="D49">
        <v>4</v>
      </c>
      <c r="E49">
        <v>1</v>
      </c>
      <c r="F49">
        <f t="shared" si="3"/>
        <v>1</v>
      </c>
      <c r="G49">
        <v>152</v>
      </c>
      <c r="H49" s="13">
        <f t="shared" ca="1" si="4"/>
        <v>53</v>
      </c>
      <c r="I49">
        <f t="shared" ca="1" si="7"/>
        <v>53</v>
      </c>
      <c r="J49">
        <f t="shared" ca="1" si="5"/>
        <v>152</v>
      </c>
      <c r="K49">
        <f t="shared" ca="1" si="8"/>
        <v>1</v>
      </c>
      <c r="L49" t="str">
        <f t="shared" ca="1" si="9"/>
        <v/>
      </c>
      <c r="M49" s="13" t="str">
        <f t="shared" si="18"/>
        <v/>
      </c>
      <c r="N49">
        <f t="shared" ca="1" si="6"/>
        <v>41</v>
      </c>
      <c r="AB49">
        <v>21</v>
      </c>
      <c r="AC49">
        <v>529.66836734693879</v>
      </c>
      <c r="AD49">
        <v>50</v>
      </c>
      <c r="AE49">
        <v>1364</v>
      </c>
      <c r="AF49">
        <v>400.59042804364611</v>
      </c>
      <c r="AG49">
        <v>1314</v>
      </c>
      <c r="AH49">
        <v>945</v>
      </c>
      <c r="AI49">
        <v>10</v>
      </c>
      <c r="AT49" s="12" t="e">
        <f t="shared" si="15"/>
        <v>#N/A</v>
      </c>
      <c r="AU49" t="e">
        <f t="shared" si="15"/>
        <v>#N/A</v>
      </c>
      <c r="AV49">
        <f t="shared" ca="1" si="15"/>
        <v>152</v>
      </c>
      <c r="AW49" t="e">
        <f t="shared" si="15"/>
        <v>#N/A</v>
      </c>
      <c r="AX49" t="e">
        <f t="shared" si="15"/>
        <v>#N/A</v>
      </c>
      <c r="AY49" t="e">
        <f t="shared" si="15"/>
        <v>#N/A</v>
      </c>
      <c r="AZ49" s="13" t="e">
        <f t="shared" si="15"/>
        <v>#N/A</v>
      </c>
      <c r="BB49">
        <v>152</v>
      </c>
    </row>
    <row r="50" spans="2:54" x14ac:dyDescent="0.45">
      <c r="B50" s="11">
        <v>3</v>
      </c>
      <c r="C50" s="13">
        <v>33</v>
      </c>
      <c r="D50">
        <v>5</v>
      </c>
      <c r="E50">
        <v>1</v>
      </c>
      <c r="F50">
        <f t="shared" si="3"/>
        <v>0</v>
      </c>
      <c r="G50">
        <v>41</v>
      </c>
      <c r="H50" s="13">
        <f t="shared" ca="1" si="4"/>
        <v>0</v>
      </c>
      <c r="I50">
        <f t="shared" ca="1" si="7"/>
        <v>152</v>
      </c>
      <c r="J50">
        <f t="shared" ca="1" si="5"/>
        <v>193</v>
      </c>
      <c r="K50">
        <f t="shared" ca="1" si="8"/>
        <v>0</v>
      </c>
      <c r="L50" t="str">
        <f t="shared" ca="1" si="9"/>
        <v/>
      </c>
      <c r="M50" s="13" t="str">
        <f t="shared" si="18"/>
        <v/>
      </c>
      <c r="N50">
        <f t="shared" ca="1" si="6"/>
        <v>0</v>
      </c>
      <c r="AB50">
        <v>22</v>
      </c>
      <c r="AC50">
        <v>498.1887755102041</v>
      </c>
      <c r="AD50">
        <v>23</v>
      </c>
      <c r="AE50">
        <v>1183</v>
      </c>
      <c r="AF50">
        <v>340.64753775134153</v>
      </c>
      <c r="AG50">
        <v>1160</v>
      </c>
      <c r="AH50">
        <v>745</v>
      </c>
      <c r="AI50">
        <v>11</v>
      </c>
      <c r="AT50" s="12" t="e">
        <f t="shared" ref="AT50:AZ65" si="19">IF($B50=AT$17,$J50,NA())</f>
        <v>#N/A</v>
      </c>
      <c r="AU50" t="e">
        <f t="shared" si="19"/>
        <v>#N/A</v>
      </c>
      <c r="AV50">
        <f t="shared" ca="1" si="19"/>
        <v>193</v>
      </c>
      <c r="AW50" t="e">
        <f t="shared" si="19"/>
        <v>#N/A</v>
      </c>
      <c r="AX50" t="e">
        <f t="shared" si="19"/>
        <v>#N/A</v>
      </c>
      <c r="AY50" t="e">
        <f t="shared" si="19"/>
        <v>#N/A</v>
      </c>
      <c r="AZ50" s="13" t="e">
        <f t="shared" si="19"/>
        <v>#N/A</v>
      </c>
      <c r="BB50">
        <v>63</v>
      </c>
    </row>
    <row r="51" spans="2:54" x14ac:dyDescent="0.45">
      <c r="B51" s="11">
        <v>3</v>
      </c>
      <c r="C51" s="13">
        <v>34</v>
      </c>
      <c r="D51">
        <v>6</v>
      </c>
      <c r="E51">
        <v>0</v>
      </c>
      <c r="F51">
        <f t="shared" si="3"/>
        <v>0</v>
      </c>
      <c r="G51">
        <v>0</v>
      </c>
      <c r="H51" s="13">
        <f t="shared" ref="H51:H82" ca="1" si="20">IF(F51=1,MIN(I51,RANDBETWEEN(lower,upper)),0)</f>
        <v>0</v>
      </c>
      <c r="I51">
        <f t="shared" ca="1" si="7"/>
        <v>193</v>
      </c>
      <c r="J51">
        <f t="shared" ca="1" si="5"/>
        <v>193</v>
      </c>
      <c r="K51">
        <f t="shared" ca="1" si="8"/>
        <v>0</v>
      </c>
      <c r="L51" t="str">
        <f t="shared" ca="1" si="9"/>
        <v/>
      </c>
      <c r="M51" s="13" t="str">
        <f t="shared" si="18"/>
        <v/>
      </c>
      <c r="N51">
        <f t="shared" ca="1" si="6"/>
        <v>0</v>
      </c>
      <c r="AB51">
        <v>23</v>
      </c>
      <c r="AC51">
        <v>539.70408163265301</v>
      </c>
      <c r="AD51">
        <v>49</v>
      </c>
      <c r="AE51">
        <v>1346</v>
      </c>
      <c r="AF51">
        <v>394.55202469056206</v>
      </c>
      <c r="AG51">
        <v>1297</v>
      </c>
      <c r="AH51">
        <v>946</v>
      </c>
      <c r="AI51">
        <v>19</v>
      </c>
      <c r="AT51" s="12" t="e">
        <f t="shared" si="19"/>
        <v>#N/A</v>
      </c>
      <c r="AU51" t="e">
        <f t="shared" si="19"/>
        <v>#N/A</v>
      </c>
      <c r="AV51">
        <f t="shared" ca="1" si="19"/>
        <v>193</v>
      </c>
      <c r="AW51" t="e">
        <f t="shared" si="19"/>
        <v>#N/A</v>
      </c>
      <c r="AX51" t="e">
        <f t="shared" si="19"/>
        <v>#N/A</v>
      </c>
      <c r="AY51" t="e">
        <f t="shared" si="19"/>
        <v>#N/A</v>
      </c>
      <c r="AZ51" s="13" t="e">
        <f t="shared" si="19"/>
        <v>#N/A</v>
      </c>
      <c r="BB51">
        <v>63</v>
      </c>
    </row>
    <row r="52" spans="2:54" x14ac:dyDescent="0.45">
      <c r="B52" s="11">
        <v>3</v>
      </c>
      <c r="C52" s="13">
        <v>35</v>
      </c>
      <c r="D52" s="15">
        <v>7</v>
      </c>
      <c r="E52" s="15">
        <v>0</v>
      </c>
      <c r="F52">
        <f t="shared" si="3"/>
        <v>0</v>
      </c>
      <c r="G52" s="15">
        <v>0</v>
      </c>
      <c r="H52" s="13">
        <f t="shared" ca="1" si="20"/>
        <v>0</v>
      </c>
      <c r="I52">
        <f t="shared" ca="1" si="7"/>
        <v>193</v>
      </c>
      <c r="J52">
        <f t="shared" ca="1" si="5"/>
        <v>193</v>
      </c>
      <c r="K52">
        <f t="shared" ca="1" si="8"/>
        <v>0</v>
      </c>
      <c r="L52" t="str">
        <f t="shared" ca="1" si="9"/>
        <v/>
      </c>
      <c r="M52" s="13" t="str">
        <f t="shared" si="18"/>
        <v/>
      </c>
      <c r="N52">
        <f t="shared" ca="1" si="6"/>
        <v>0</v>
      </c>
      <c r="AB52">
        <v>24</v>
      </c>
      <c r="AC52">
        <v>545.4591836734694</v>
      </c>
      <c r="AD52">
        <v>28</v>
      </c>
      <c r="AE52">
        <v>1329</v>
      </c>
      <c r="AF52">
        <v>410.33403934383944</v>
      </c>
      <c r="AG52">
        <v>1301</v>
      </c>
      <c r="AH52">
        <v>885</v>
      </c>
      <c r="AI52">
        <v>11</v>
      </c>
      <c r="AT52" s="12" t="e">
        <f t="shared" si="19"/>
        <v>#N/A</v>
      </c>
      <c r="AU52" t="e">
        <f t="shared" si="19"/>
        <v>#N/A</v>
      </c>
      <c r="AV52">
        <f t="shared" ca="1" si="19"/>
        <v>193</v>
      </c>
      <c r="AW52" t="e">
        <f t="shared" si="19"/>
        <v>#N/A</v>
      </c>
      <c r="AX52" t="e">
        <f t="shared" si="19"/>
        <v>#N/A</v>
      </c>
      <c r="AY52" t="e">
        <f t="shared" si="19"/>
        <v>#N/A</v>
      </c>
      <c r="AZ52" s="13" t="e">
        <f t="shared" si="19"/>
        <v>#N/A</v>
      </c>
      <c r="BB52">
        <v>63</v>
      </c>
    </row>
    <row r="53" spans="2:54" x14ac:dyDescent="0.45">
      <c r="B53" s="11">
        <v>3</v>
      </c>
      <c r="C53" s="13">
        <v>36</v>
      </c>
      <c r="D53" s="8">
        <v>1</v>
      </c>
      <c r="E53" s="8">
        <v>1</v>
      </c>
      <c r="F53">
        <f t="shared" si="3"/>
        <v>1</v>
      </c>
      <c r="G53" s="8">
        <v>144</v>
      </c>
      <c r="H53" s="13">
        <f t="shared" ca="1" si="20"/>
        <v>144</v>
      </c>
      <c r="I53">
        <f t="shared" ca="1" si="7"/>
        <v>193</v>
      </c>
      <c r="J53">
        <f t="shared" ca="1" si="5"/>
        <v>193</v>
      </c>
      <c r="K53">
        <f t="shared" ca="1" si="8"/>
        <v>0</v>
      </c>
      <c r="L53">
        <f t="shared" ca="1" si="9"/>
        <v>144</v>
      </c>
      <c r="M53" s="13" t="str">
        <f t="shared" si="18"/>
        <v/>
      </c>
      <c r="N53">
        <f t="shared" ca="1" si="6"/>
        <v>-43</v>
      </c>
      <c r="AB53">
        <v>25</v>
      </c>
      <c r="AC53">
        <v>544.21938775510205</v>
      </c>
      <c r="AD53">
        <v>49</v>
      </c>
      <c r="AE53">
        <v>1350</v>
      </c>
      <c r="AF53">
        <v>399.33192657649926</v>
      </c>
      <c r="AG53">
        <v>1301</v>
      </c>
      <c r="AH53">
        <v>894</v>
      </c>
      <c r="AI53">
        <v>10</v>
      </c>
      <c r="AT53" s="12" t="e">
        <f t="shared" si="19"/>
        <v>#N/A</v>
      </c>
      <c r="AU53" t="e">
        <f t="shared" si="19"/>
        <v>#N/A</v>
      </c>
      <c r="AV53">
        <f t="shared" ca="1" si="19"/>
        <v>193</v>
      </c>
      <c r="AW53" t="e">
        <f t="shared" si="19"/>
        <v>#N/A</v>
      </c>
      <c r="AX53" t="e">
        <f t="shared" si="19"/>
        <v>#N/A</v>
      </c>
      <c r="AY53" t="e">
        <f t="shared" si="19"/>
        <v>#N/A</v>
      </c>
      <c r="AZ53" s="13" t="e">
        <f t="shared" si="19"/>
        <v>#N/A</v>
      </c>
      <c r="BB53">
        <v>144</v>
      </c>
    </row>
    <row r="54" spans="2:54" x14ac:dyDescent="0.45">
      <c r="B54" s="11">
        <v>3</v>
      </c>
      <c r="C54" s="13">
        <v>37</v>
      </c>
      <c r="D54">
        <v>2</v>
      </c>
      <c r="E54">
        <v>1</v>
      </c>
      <c r="F54">
        <f t="shared" si="3"/>
        <v>1</v>
      </c>
      <c r="G54">
        <v>117</v>
      </c>
      <c r="H54" s="13">
        <f t="shared" ca="1" si="20"/>
        <v>160</v>
      </c>
      <c r="I54">
        <f t="shared" ca="1" si="7"/>
        <v>193</v>
      </c>
      <c r="J54">
        <f t="shared" ca="1" si="5"/>
        <v>150</v>
      </c>
      <c r="K54">
        <f t="shared" ca="1" si="8"/>
        <v>0</v>
      </c>
      <c r="L54">
        <f t="shared" ca="1" si="9"/>
        <v>160</v>
      </c>
      <c r="M54" s="13" t="str">
        <f t="shared" si="18"/>
        <v/>
      </c>
      <c r="N54">
        <f t="shared" ca="1" si="6"/>
        <v>-31</v>
      </c>
      <c r="AB54">
        <v>26</v>
      </c>
      <c r="AC54">
        <v>524.24489795918362</v>
      </c>
      <c r="AD54">
        <v>51</v>
      </c>
      <c r="AE54">
        <v>1294</v>
      </c>
      <c r="AF54">
        <v>379.48945459319231</v>
      </c>
      <c r="AG54">
        <v>1243</v>
      </c>
      <c r="AH54">
        <v>843</v>
      </c>
      <c r="AI54">
        <v>16</v>
      </c>
      <c r="AT54" s="12" t="e">
        <f t="shared" si="19"/>
        <v>#N/A</v>
      </c>
      <c r="AU54" t="e">
        <f t="shared" si="19"/>
        <v>#N/A</v>
      </c>
      <c r="AV54">
        <f t="shared" ca="1" si="19"/>
        <v>150</v>
      </c>
      <c r="AW54" t="e">
        <f t="shared" si="19"/>
        <v>#N/A</v>
      </c>
      <c r="AX54" t="e">
        <f t="shared" si="19"/>
        <v>#N/A</v>
      </c>
      <c r="AY54" t="e">
        <f t="shared" si="19"/>
        <v>#N/A</v>
      </c>
      <c r="AZ54" s="13" t="e">
        <f t="shared" si="19"/>
        <v>#N/A</v>
      </c>
      <c r="BB54">
        <v>131</v>
      </c>
    </row>
    <row r="55" spans="2:54" x14ac:dyDescent="0.45">
      <c r="B55" s="11">
        <v>3</v>
      </c>
      <c r="C55" s="13">
        <v>38</v>
      </c>
      <c r="D55">
        <v>3</v>
      </c>
      <c r="E55">
        <v>1</v>
      </c>
      <c r="F55">
        <f t="shared" si="3"/>
        <v>1</v>
      </c>
      <c r="G55">
        <v>117</v>
      </c>
      <c r="H55" s="13">
        <f t="shared" ca="1" si="20"/>
        <v>148</v>
      </c>
      <c r="I55">
        <f t="shared" ca="1" si="7"/>
        <v>150</v>
      </c>
      <c r="J55">
        <f t="shared" ca="1" si="5"/>
        <v>119</v>
      </c>
      <c r="K55">
        <f t="shared" ca="1" si="8"/>
        <v>0</v>
      </c>
      <c r="L55">
        <f t="shared" ca="1" si="9"/>
        <v>148</v>
      </c>
      <c r="M55" s="13" t="str">
        <f t="shared" si="18"/>
        <v/>
      </c>
      <c r="N55">
        <f t="shared" ca="1" si="6"/>
        <v>1</v>
      </c>
      <c r="AB55">
        <v>27</v>
      </c>
      <c r="AC55">
        <v>552.78061224489795</v>
      </c>
      <c r="AD55">
        <v>48</v>
      </c>
      <c r="AE55">
        <v>1413</v>
      </c>
      <c r="AF55">
        <v>421.76151234742173</v>
      </c>
      <c r="AG55">
        <v>1365</v>
      </c>
      <c r="AH55">
        <v>989</v>
      </c>
      <c r="AI55">
        <v>13</v>
      </c>
      <c r="AT55" s="12" t="e">
        <f t="shared" si="19"/>
        <v>#N/A</v>
      </c>
      <c r="AU55" t="e">
        <f t="shared" si="19"/>
        <v>#N/A</v>
      </c>
      <c r="AV55">
        <f t="shared" ca="1" si="19"/>
        <v>119</v>
      </c>
      <c r="AW55" t="e">
        <f t="shared" si="19"/>
        <v>#N/A</v>
      </c>
      <c r="AX55" t="e">
        <f t="shared" si="19"/>
        <v>#N/A</v>
      </c>
      <c r="AY55" t="e">
        <f t="shared" si="19"/>
        <v>#N/A</v>
      </c>
      <c r="AZ55" s="13" t="e">
        <f t="shared" si="19"/>
        <v>#N/A</v>
      </c>
      <c r="BB55">
        <v>118</v>
      </c>
    </row>
    <row r="56" spans="2:54" x14ac:dyDescent="0.45">
      <c r="B56" s="11">
        <v>3</v>
      </c>
      <c r="C56" s="13">
        <v>39</v>
      </c>
      <c r="D56">
        <v>4</v>
      </c>
      <c r="E56">
        <v>1</v>
      </c>
      <c r="F56">
        <f t="shared" si="3"/>
        <v>1</v>
      </c>
      <c r="G56">
        <v>120</v>
      </c>
      <c r="H56" s="13">
        <f t="shared" ca="1" si="20"/>
        <v>119</v>
      </c>
      <c r="I56">
        <f t="shared" ca="1" si="7"/>
        <v>119</v>
      </c>
      <c r="J56">
        <f t="shared" ca="1" si="5"/>
        <v>120</v>
      </c>
      <c r="K56">
        <f t="shared" ca="1" si="8"/>
        <v>1</v>
      </c>
      <c r="L56" t="str">
        <f t="shared" ca="1" si="9"/>
        <v/>
      </c>
      <c r="M56" s="13" t="str">
        <f t="shared" si="18"/>
        <v/>
      </c>
      <c r="N56">
        <f t="shared" ca="1" si="6"/>
        <v>111</v>
      </c>
      <c r="AB56">
        <v>28</v>
      </c>
      <c r="AC56">
        <v>549.69387755102036</v>
      </c>
      <c r="AD56">
        <v>44</v>
      </c>
      <c r="AE56">
        <v>1295</v>
      </c>
      <c r="AF56">
        <v>386.52536174051767</v>
      </c>
      <c r="AG56">
        <v>1251</v>
      </c>
      <c r="AH56">
        <v>893</v>
      </c>
      <c r="AI56">
        <v>11</v>
      </c>
      <c r="AT56" s="12" t="e">
        <f t="shared" si="19"/>
        <v>#N/A</v>
      </c>
      <c r="AU56" t="e">
        <f t="shared" si="19"/>
        <v>#N/A</v>
      </c>
      <c r="AV56">
        <f t="shared" ca="1" si="19"/>
        <v>120</v>
      </c>
      <c r="AW56" t="e">
        <f t="shared" si="19"/>
        <v>#N/A</v>
      </c>
      <c r="AX56" t="e">
        <f t="shared" si="19"/>
        <v>#N/A</v>
      </c>
      <c r="AY56" t="e">
        <f t="shared" si="19"/>
        <v>#N/A</v>
      </c>
      <c r="AZ56" s="13" t="e">
        <f t="shared" si="19"/>
        <v>#N/A</v>
      </c>
      <c r="BB56">
        <v>120</v>
      </c>
    </row>
    <row r="57" spans="2:54" x14ac:dyDescent="0.45">
      <c r="B57" s="11">
        <v>3</v>
      </c>
      <c r="C57" s="13">
        <v>40</v>
      </c>
      <c r="D57">
        <v>5</v>
      </c>
      <c r="E57">
        <v>1</v>
      </c>
      <c r="F57">
        <f t="shared" si="3"/>
        <v>0</v>
      </c>
      <c r="G57">
        <v>111</v>
      </c>
      <c r="H57" s="13">
        <f t="shared" ca="1" si="20"/>
        <v>0</v>
      </c>
      <c r="I57">
        <f t="shared" ca="1" si="7"/>
        <v>120</v>
      </c>
      <c r="J57">
        <f t="shared" ca="1" si="5"/>
        <v>231</v>
      </c>
      <c r="K57">
        <f t="shared" ca="1" si="8"/>
        <v>0</v>
      </c>
      <c r="L57" t="str">
        <f t="shared" ca="1" si="9"/>
        <v/>
      </c>
      <c r="M57" s="13" t="str">
        <f t="shared" si="18"/>
        <v/>
      </c>
      <c r="N57">
        <f t="shared" ca="1" si="6"/>
        <v>0</v>
      </c>
      <c r="AB57">
        <v>29</v>
      </c>
      <c r="AC57">
        <v>498.85204081632651</v>
      </c>
      <c r="AD57">
        <v>69</v>
      </c>
      <c r="AE57">
        <v>1236</v>
      </c>
      <c r="AF57">
        <v>361.13860975395409</v>
      </c>
      <c r="AG57">
        <v>1167</v>
      </c>
      <c r="AH57">
        <v>869</v>
      </c>
      <c r="AI57">
        <v>9</v>
      </c>
      <c r="AT57" s="12" t="e">
        <f t="shared" si="19"/>
        <v>#N/A</v>
      </c>
      <c r="AU57" t="e">
        <f t="shared" si="19"/>
        <v>#N/A</v>
      </c>
      <c r="AV57">
        <f t="shared" ca="1" si="19"/>
        <v>231</v>
      </c>
      <c r="AW57" t="e">
        <f t="shared" si="19"/>
        <v>#N/A</v>
      </c>
      <c r="AX57" t="e">
        <f t="shared" si="19"/>
        <v>#N/A</v>
      </c>
      <c r="AY57" t="e">
        <f t="shared" si="19"/>
        <v>#N/A</v>
      </c>
      <c r="AZ57" s="13" t="e">
        <f t="shared" si="19"/>
        <v>#N/A</v>
      </c>
      <c r="BB57">
        <v>111</v>
      </c>
    </row>
    <row r="58" spans="2:54" x14ac:dyDescent="0.45">
      <c r="B58" s="11">
        <v>3</v>
      </c>
      <c r="C58" s="13">
        <v>41</v>
      </c>
      <c r="D58">
        <v>6</v>
      </c>
      <c r="E58">
        <v>0</v>
      </c>
      <c r="F58">
        <f t="shared" si="3"/>
        <v>0</v>
      </c>
      <c r="G58">
        <v>0</v>
      </c>
      <c r="H58" s="13">
        <f t="shared" ca="1" si="20"/>
        <v>0</v>
      </c>
      <c r="I58">
        <f t="shared" ca="1" si="7"/>
        <v>231</v>
      </c>
      <c r="J58">
        <f t="shared" ca="1" si="5"/>
        <v>231</v>
      </c>
      <c r="K58">
        <f t="shared" ca="1" si="8"/>
        <v>0</v>
      </c>
      <c r="L58" t="str">
        <f t="shared" ca="1" si="9"/>
        <v/>
      </c>
      <c r="M58" s="13" t="str">
        <f t="shared" si="18"/>
        <v/>
      </c>
      <c r="N58">
        <f t="shared" ca="1" si="6"/>
        <v>0</v>
      </c>
      <c r="AB58">
        <v>30</v>
      </c>
      <c r="AC58">
        <v>523.37244897959181</v>
      </c>
      <c r="AD58">
        <v>82</v>
      </c>
      <c r="AE58">
        <v>1291</v>
      </c>
      <c r="AF58">
        <v>384.08713543711434</v>
      </c>
      <c r="AG58">
        <v>1209</v>
      </c>
      <c r="AH58">
        <v>821</v>
      </c>
      <c r="AI58">
        <v>9</v>
      </c>
      <c r="AT58" s="12" t="e">
        <f t="shared" si="19"/>
        <v>#N/A</v>
      </c>
      <c r="AU58" t="e">
        <f t="shared" si="19"/>
        <v>#N/A</v>
      </c>
      <c r="AV58">
        <f t="shared" ca="1" si="19"/>
        <v>231</v>
      </c>
      <c r="AW58" t="e">
        <f t="shared" si="19"/>
        <v>#N/A</v>
      </c>
      <c r="AX58" t="e">
        <f t="shared" si="19"/>
        <v>#N/A</v>
      </c>
      <c r="AY58" t="e">
        <f t="shared" si="19"/>
        <v>#N/A</v>
      </c>
      <c r="AZ58" s="13" t="e">
        <f t="shared" si="19"/>
        <v>#N/A</v>
      </c>
      <c r="BB58">
        <v>111</v>
      </c>
    </row>
    <row r="59" spans="2:54" x14ac:dyDescent="0.45">
      <c r="B59" s="11">
        <v>3</v>
      </c>
      <c r="C59" s="13">
        <v>42</v>
      </c>
      <c r="D59" s="15">
        <v>7</v>
      </c>
      <c r="E59" s="15">
        <v>0</v>
      </c>
      <c r="F59">
        <f t="shared" si="3"/>
        <v>0</v>
      </c>
      <c r="G59" s="15">
        <v>0</v>
      </c>
      <c r="H59" s="13">
        <f t="shared" ca="1" si="20"/>
        <v>0</v>
      </c>
      <c r="I59">
        <f t="shared" ca="1" si="7"/>
        <v>231</v>
      </c>
      <c r="J59">
        <f t="shared" ca="1" si="5"/>
        <v>231</v>
      </c>
      <c r="K59">
        <f t="shared" ca="1" si="8"/>
        <v>0</v>
      </c>
      <c r="L59" t="str">
        <f t="shared" ca="1" si="9"/>
        <v/>
      </c>
      <c r="M59" s="13">
        <f t="shared" ca="1" si="18"/>
        <v>-191</v>
      </c>
      <c r="N59">
        <f t="shared" ca="1" si="6"/>
        <v>-7</v>
      </c>
      <c r="AB59">
        <v>31</v>
      </c>
      <c r="AC59">
        <v>528.82653061224494</v>
      </c>
      <c r="AD59">
        <v>29</v>
      </c>
      <c r="AE59">
        <v>1362</v>
      </c>
      <c r="AF59">
        <v>406.58617394981229</v>
      </c>
      <c r="AG59">
        <v>1333</v>
      </c>
      <c r="AH59">
        <v>984</v>
      </c>
      <c r="AI59">
        <v>10</v>
      </c>
      <c r="AT59" s="12" t="e">
        <f t="shared" si="19"/>
        <v>#N/A</v>
      </c>
      <c r="AU59" t="e">
        <f t="shared" si="19"/>
        <v>#N/A</v>
      </c>
      <c r="AV59">
        <f t="shared" ca="1" si="19"/>
        <v>231</v>
      </c>
      <c r="AW59" t="e">
        <f t="shared" si="19"/>
        <v>#N/A</v>
      </c>
      <c r="AX59" t="e">
        <f t="shared" si="19"/>
        <v>#N/A</v>
      </c>
      <c r="AY59" t="e">
        <f t="shared" si="19"/>
        <v>#N/A</v>
      </c>
      <c r="AZ59" s="13" t="e">
        <f t="shared" si="19"/>
        <v>#N/A</v>
      </c>
      <c r="BB59">
        <v>111</v>
      </c>
    </row>
    <row r="60" spans="2:54" x14ac:dyDescent="0.45">
      <c r="B60" s="11">
        <v>4</v>
      </c>
      <c r="C60" s="13">
        <v>43</v>
      </c>
      <c r="D60" s="8">
        <v>1</v>
      </c>
      <c r="E60" s="8">
        <v>1</v>
      </c>
      <c r="F60">
        <f t="shared" si="3"/>
        <v>1</v>
      </c>
      <c r="G60" s="8">
        <v>114</v>
      </c>
      <c r="H60" s="13">
        <f t="shared" ca="1" si="20"/>
        <v>121</v>
      </c>
      <c r="I60">
        <f t="shared" ca="1" si="7"/>
        <v>231</v>
      </c>
      <c r="J60">
        <f t="shared" ca="1" si="5"/>
        <v>224</v>
      </c>
      <c r="K60">
        <f t="shared" ca="1" si="8"/>
        <v>0</v>
      </c>
      <c r="L60">
        <f t="shared" ca="1" si="9"/>
        <v>121</v>
      </c>
      <c r="M60" s="13" t="str">
        <f t="shared" si="18"/>
        <v/>
      </c>
      <c r="N60">
        <f t="shared" ca="1" si="6"/>
        <v>25</v>
      </c>
      <c r="AB60">
        <v>32</v>
      </c>
      <c r="AC60">
        <v>562.91836734693879</v>
      </c>
      <c r="AD60">
        <v>49</v>
      </c>
      <c r="AE60">
        <v>1388</v>
      </c>
      <c r="AF60">
        <v>420.99112098517571</v>
      </c>
      <c r="AG60">
        <v>1339</v>
      </c>
      <c r="AH60">
        <v>1012</v>
      </c>
      <c r="AI60">
        <v>16</v>
      </c>
      <c r="AT60" s="12" t="e">
        <f t="shared" si="19"/>
        <v>#N/A</v>
      </c>
      <c r="AU60" t="e">
        <f t="shared" si="19"/>
        <v>#N/A</v>
      </c>
      <c r="AV60" t="e">
        <f t="shared" si="19"/>
        <v>#N/A</v>
      </c>
      <c r="AW60">
        <f t="shared" ca="1" si="19"/>
        <v>224</v>
      </c>
      <c r="AX60" t="e">
        <f t="shared" si="19"/>
        <v>#N/A</v>
      </c>
      <c r="AY60" t="e">
        <f t="shared" si="19"/>
        <v>#N/A</v>
      </c>
      <c r="AZ60" s="13" t="e">
        <f t="shared" si="19"/>
        <v>#N/A</v>
      </c>
      <c r="BB60">
        <v>114</v>
      </c>
    </row>
    <row r="61" spans="2:54" x14ac:dyDescent="0.45">
      <c r="B61" s="11">
        <v>4</v>
      </c>
      <c r="C61" s="13">
        <v>44</v>
      </c>
      <c r="D61">
        <v>2</v>
      </c>
      <c r="E61">
        <v>1</v>
      </c>
      <c r="F61">
        <f t="shared" si="3"/>
        <v>1</v>
      </c>
      <c r="G61">
        <v>148</v>
      </c>
      <c r="H61" s="13">
        <f t="shared" ca="1" si="20"/>
        <v>123</v>
      </c>
      <c r="I61">
        <f t="shared" ca="1" si="7"/>
        <v>224</v>
      </c>
      <c r="J61">
        <f t="shared" ca="1" si="5"/>
        <v>249</v>
      </c>
      <c r="K61">
        <f t="shared" ca="1" si="8"/>
        <v>0</v>
      </c>
      <c r="L61">
        <f t="shared" ca="1" si="9"/>
        <v>123</v>
      </c>
      <c r="M61" s="13" t="str">
        <f t="shared" si="18"/>
        <v/>
      </c>
      <c r="N61">
        <f t="shared" ca="1" si="6"/>
        <v>-11</v>
      </c>
      <c r="AB61">
        <v>33</v>
      </c>
      <c r="AC61">
        <v>512.29591836734699</v>
      </c>
      <c r="AD61">
        <v>51</v>
      </c>
      <c r="AE61">
        <v>1259</v>
      </c>
      <c r="AF61">
        <v>375.99050707685655</v>
      </c>
      <c r="AG61">
        <v>1208</v>
      </c>
      <c r="AH61">
        <v>851</v>
      </c>
      <c r="AI61">
        <v>10</v>
      </c>
      <c r="AT61" s="12" t="e">
        <f t="shared" si="19"/>
        <v>#N/A</v>
      </c>
      <c r="AU61" t="e">
        <f t="shared" si="19"/>
        <v>#N/A</v>
      </c>
      <c r="AV61" t="e">
        <f t="shared" si="19"/>
        <v>#N/A</v>
      </c>
      <c r="AW61">
        <f t="shared" ca="1" si="19"/>
        <v>249</v>
      </c>
      <c r="AX61" t="e">
        <f t="shared" si="19"/>
        <v>#N/A</v>
      </c>
      <c r="AY61" t="e">
        <f t="shared" si="19"/>
        <v>#N/A</v>
      </c>
      <c r="AZ61" s="13" t="e">
        <f t="shared" si="19"/>
        <v>#N/A</v>
      </c>
      <c r="BB61">
        <v>148</v>
      </c>
    </row>
    <row r="62" spans="2:54" x14ac:dyDescent="0.45">
      <c r="B62" s="11">
        <v>4</v>
      </c>
      <c r="C62" s="13">
        <v>45</v>
      </c>
      <c r="D62">
        <v>3</v>
      </c>
      <c r="E62">
        <v>1</v>
      </c>
      <c r="F62">
        <f t="shared" si="3"/>
        <v>1</v>
      </c>
      <c r="G62">
        <v>116</v>
      </c>
      <c r="H62" s="13">
        <f t="shared" ca="1" si="20"/>
        <v>127</v>
      </c>
      <c r="I62">
        <f t="shared" ca="1" si="7"/>
        <v>249</v>
      </c>
      <c r="J62">
        <f t="shared" ca="1" si="5"/>
        <v>238</v>
      </c>
      <c r="K62">
        <f t="shared" ca="1" si="8"/>
        <v>0</v>
      </c>
      <c r="L62">
        <f t="shared" ca="1" si="9"/>
        <v>127</v>
      </c>
      <c r="M62" s="13" t="str">
        <f t="shared" si="18"/>
        <v/>
      </c>
      <c r="N62">
        <f t="shared" ca="1" si="6"/>
        <v>-39</v>
      </c>
      <c r="AB62">
        <v>34</v>
      </c>
      <c r="AC62">
        <v>585.46938775510205</v>
      </c>
      <c r="AD62">
        <v>46</v>
      </c>
      <c r="AE62">
        <v>1497</v>
      </c>
      <c r="AF62">
        <v>445.94046926032058</v>
      </c>
      <c r="AG62">
        <v>1451</v>
      </c>
      <c r="AH62">
        <v>1069</v>
      </c>
      <c r="AI62">
        <v>10</v>
      </c>
      <c r="AT62" s="12" t="e">
        <f t="shared" si="19"/>
        <v>#N/A</v>
      </c>
      <c r="AU62" t="e">
        <f t="shared" si="19"/>
        <v>#N/A</v>
      </c>
      <c r="AV62" t="e">
        <f t="shared" si="19"/>
        <v>#N/A</v>
      </c>
      <c r="AW62">
        <f t="shared" ca="1" si="19"/>
        <v>238</v>
      </c>
      <c r="AX62" t="e">
        <f t="shared" si="19"/>
        <v>#N/A</v>
      </c>
      <c r="AY62" t="e">
        <f t="shared" si="19"/>
        <v>#N/A</v>
      </c>
      <c r="AZ62" s="13" t="e">
        <f t="shared" si="19"/>
        <v>#N/A</v>
      </c>
      <c r="BB62">
        <v>134</v>
      </c>
    </row>
    <row r="63" spans="2:54" x14ac:dyDescent="0.45">
      <c r="B63" s="11">
        <v>4</v>
      </c>
      <c r="C63" s="13">
        <v>46</v>
      </c>
      <c r="D63">
        <v>4</v>
      </c>
      <c r="E63">
        <v>1</v>
      </c>
      <c r="F63">
        <f t="shared" si="3"/>
        <v>1</v>
      </c>
      <c r="G63">
        <v>112</v>
      </c>
      <c r="H63" s="13">
        <f t="shared" ca="1" si="20"/>
        <v>151</v>
      </c>
      <c r="I63">
        <f t="shared" ca="1" si="7"/>
        <v>238</v>
      </c>
      <c r="J63">
        <f t="shared" ca="1" si="5"/>
        <v>199</v>
      </c>
      <c r="K63">
        <f t="shared" ca="1" si="8"/>
        <v>0</v>
      </c>
      <c r="L63">
        <f t="shared" ca="1" si="9"/>
        <v>151</v>
      </c>
      <c r="M63" s="13" t="str">
        <f t="shared" si="18"/>
        <v/>
      </c>
      <c r="N63">
        <f t="shared" ca="1" si="6"/>
        <v>-10</v>
      </c>
      <c r="AB63">
        <v>35</v>
      </c>
      <c r="AC63">
        <v>529.75510204081638</v>
      </c>
      <c r="AD63">
        <v>46</v>
      </c>
      <c r="AE63">
        <v>1345</v>
      </c>
      <c r="AF63">
        <v>390.81080190052631</v>
      </c>
      <c r="AG63">
        <v>1299</v>
      </c>
      <c r="AH63">
        <v>935</v>
      </c>
      <c r="AI63">
        <v>12</v>
      </c>
      <c r="AT63" s="12" t="e">
        <f t="shared" si="19"/>
        <v>#N/A</v>
      </c>
      <c r="AU63" t="e">
        <f t="shared" si="19"/>
        <v>#N/A</v>
      </c>
      <c r="AV63" t="e">
        <f t="shared" si="19"/>
        <v>#N/A</v>
      </c>
      <c r="AW63">
        <f t="shared" ca="1" si="19"/>
        <v>199</v>
      </c>
      <c r="AX63" t="e">
        <f t="shared" si="19"/>
        <v>#N/A</v>
      </c>
      <c r="AY63" t="e">
        <f t="shared" si="19"/>
        <v>#N/A</v>
      </c>
      <c r="AZ63" s="13" t="e">
        <f t="shared" si="19"/>
        <v>#N/A</v>
      </c>
      <c r="BB63">
        <v>116</v>
      </c>
    </row>
    <row r="64" spans="2:54" x14ac:dyDescent="0.45">
      <c r="B64" s="11">
        <v>4</v>
      </c>
      <c r="C64" s="13">
        <v>47</v>
      </c>
      <c r="D64">
        <v>5</v>
      </c>
      <c r="E64">
        <v>1</v>
      </c>
      <c r="F64">
        <f t="shared" si="3"/>
        <v>1</v>
      </c>
      <c r="G64">
        <v>144</v>
      </c>
      <c r="H64" s="13">
        <f t="shared" ca="1" si="20"/>
        <v>154</v>
      </c>
      <c r="I64">
        <f t="shared" ca="1" si="7"/>
        <v>199</v>
      </c>
      <c r="J64">
        <f t="shared" ca="1" si="5"/>
        <v>189</v>
      </c>
      <c r="K64">
        <f t="shared" ca="1" si="8"/>
        <v>0</v>
      </c>
      <c r="L64">
        <f t="shared" ca="1" si="9"/>
        <v>154</v>
      </c>
      <c r="M64" s="13" t="str">
        <f t="shared" si="18"/>
        <v/>
      </c>
      <c r="N64">
        <f t="shared" ca="1" si="6"/>
        <v>0</v>
      </c>
      <c r="AB64">
        <v>36</v>
      </c>
      <c r="AC64">
        <v>521.63775510204084</v>
      </c>
      <c r="AD64">
        <v>34</v>
      </c>
      <c r="AE64">
        <v>1302</v>
      </c>
      <c r="AF64">
        <v>384.21533662919143</v>
      </c>
      <c r="AG64">
        <v>1268</v>
      </c>
      <c r="AH64">
        <v>884</v>
      </c>
      <c r="AI64">
        <v>14</v>
      </c>
      <c r="AT64" s="12" t="e">
        <f t="shared" si="19"/>
        <v>#N/A</v>
      </c>
      <c r="AU64" t="e">
        <f t="shared" si="19"/>
        <v>#N/A</v>
      </c>
      <c r="AV64" t="e">
        <f t="shared" si="19"/>
        <v>#N/A</v>
      </c>
      <c r="AW64">
        <f t="shared" ca="1" si="19"/>
        <v>189</v>
      </c>
      <c r="AX64" t="e">
        <f t="shared" si="19"/>
        <v>#N/A</v>
      </c>
      <c r="AY64" t="e">
        <f t="shared" si="19"/>
        <v>#N/A</v>
      </c>
      <c r="AZ64" s="13" t="e">
        <f t="shared" si="19"/>
        <v>#N/A</v>
      </c>
      <c r="BB64">
        <v>144</v>
      </c>
    </row>
    <row r="65" spans="2:54" x14ac:dyDescent="0.45">
      <c r="B65" s="11">
        <v>4</v>
      </c>
      <c r="C65" s="13">
        <v>48</v>
      </c>
      <c r="D65">
        <v>6</v>
      </c>
      <c r="E65">
        <v>0</v>
      </c>
      <c r="F65">
        <f t="shared" si="3"/>
        <v>0</v>
      </c>
      <c r="G65">
        <v>0</v>
      </c>
      <c r="H65" s="13">
        <f t="shared" ca="1" si="20"/>
        <v>0</v>
      </c>
      <c r="I65">
        <f t="shared" ca="1" si="7"/>
        <v>189</v>
      </c>
      <c r="J65">
        <f t="shared" ca="1" si="5"/>
        <v>189</v>
      </c>
      <c r="K65">
        <f t="shared" ca="1" si="8"/>
        <v>0</v>
      </c>
      <c r="L65" t="str">
        <f t="shared" ca="1" si="9"/>
        <v/>
      </c>
      <c r="M65" s="13" t="str">
        <f t="shared" si="18"/>
        <v/>
      </c>
      <c r="N65">
        <f t="shared" ca="1" si="6"/>
        <v>0</v>
      </c>
      <c r="AB65">
        <v>37</v>
      </c>
      <c r="AC65">
        <v>535.45408163265301</v>
      </c>
      <c r="AD65">
        <v>29</v>
      </c>
      <c r="AE65">
        <v>1334</v>
      </c>
      <c r="AF65">
        <v>390.07944367948875</v>
      </c>
      <c r="AG65">
        <v>1305</v>
      </c>
      <c r="AH65">
        <v>922</v>
      </c>
      <c r="AI65">
        <v>12</v>
      </c>
      <c r="AT65" s="12" t="e">
        <f t="shared" si="19"/>
        <v>#N/A</v>
      </c>
      <c r="AU65" t="e">
        <f t="shared" si="19"/>
        <v>#N/A</v>
      </c>
      <c r="AV65" t="e">
        <f t="shared" si="19"/>
        <v>#N/A</v>
      </c>
      <c r="AW65">
        <f t="shared" ca="1" si="19"/>
        <v>189</v>
      </c>
      <c r="AX65" t="e">
        <f t="shared" si="19"/>
        <v>#N/A</v>
      </c>
      <c r="AY65" t="e">
        <f t="shared" si="19"/>
        <v>#N/A</v>
      </c>
      <c r="AZ65" s="13" t="e">
        <f t="shared" si="19"/>
        <v>#N/A</v>
      </c>
      <c r="BB65">
        <v>144</v>
      </c>
    </row>
    <row r="66" spans="2:54" x14ac:dyDescent="0.45">
      <c r="B66" s="11">
        <v>4</v>
      </c>
      <c r="C66" s="13">
        <v>49</v>
      </c>
      <c r="D66" s="15">
        <v>7</v>
      </c>
      <c r="E66" s="15">
        <v>0</v>
      </c>
      <c r="F66">
        <f t="shared" si="3"/>
        <v>0</v>
      </c>
      <c r="G66" s="15">
        <v>0</v>
      </c>
      <c r="H66" s="13">
        <f t="shared" ca="1" si="20"/>
        <v>0</v>
      </c>
      <c r="I66">
        <f t="shared" ca="1" si="7"/>
        <v>189</v>
      </c>
      <c r="J66">
        <f t="shared" ca="1" si="5"/>
        <v>189</v>
      </c>
      <c r="K66">
        <f t="shared" ca="1" si="8"/>
        <v>0</v>
      </c>
      <c r="L66" t="str">
        <f t="shared" ca="1" si="9"/>
        <v/>
      </c>
      <c r="M66" s="13" t="str">
        <f t="shared" si="18"/>
        <v/>
      </c>
      <c r="N66">
        <f t="shared" ca="1" si="6"/>
        <v>-10</v>
      </c>
      <c r="AB66">
        <v>38</v>
      </c>
      <c r="AC66">
        <v>546.58673469387759</v>
      </c>
      <c r="AD66">
        <v>61</v>
      </c>
      <c r="AE66">
        <v>1341</v>
      </c>
      <c r="AF66">
        <v>400.4745496608648</v>
      </c>
      <c r="AG66">
        <v>1280</v>
      </c>
      <c r="AH66">
        <v>946</v>
      </c>
      <c r="AI66">
        <v>9</v>
      </c>
      <c r="AT66" s="12" t="e">
        <f t="shared" ref="AT66:AZ81" si="21">IF($B66=AT$17,$J66,NA())</f>
        <v>#N/A</v>
      </c>
      <c r="AU66" t="e">
        <f t="shared" si="21"/>
        <v>#N/A</v>
      </c>
      <c r="AV66" t="e">
        <f t="shared" si="21"/>
        <v>#N/A</v>
      </c>
      <c r="AW66">
        <f t="shared" ca="1" si="21"/>
        <v>189</v>
      </c>
      <c r="AX66" t="e">
        <f t="shared" si="21"/>
        <v>#N/A</v>
      </c>
      <c r="AY66" t="e">
        <f t="shared" si="21"/>
        <v>#N/A</v>
      </c>
      <c r="AZ66" s="13" t="e">
        <f t="shared" si="21"/>
        <v>#N/A</v>
      </c>
      <c r="BB66">
        <v>144</v>
      </c>
    </row>
    <row r="67" spans="2:54" x14ac:dyDescent="0.45">
      <c r="B67" s="11">
        <v>4</v>
      </c>
      <c r="C67" s="13">
        <v>50</v>
      </c>
      <c r="D67" s="8">
        <v>1</v>
      </c>
      <c r="E67" s="8">
        <v>1</v>
      </c>
      <c r="F67">
        <f t="shared" si="3"/>
        <v>1</v>
      </c>
      <c r="G67" s="8">
        <v>113</v>
      </c>
      <c r="H67" s="13">
        <f t="shared" ca="1" si="20"/>
        <v>123</v>
      </c>
      <c r="I67">
        <f t="shared" ca="1" si="7"/>
        <v>189</v>
      </c>
      <c r="J67">
        <f t="shared" ca="1" si="5"/>
        <v>179</v>
      </c>
      <c r="K67">
        <f t="shared" ca="1" si="8"/>
        <v>0</v>
      </c>
      <c r="L67">
        <f t="shared" ca="1" si="9"/>
        <v>123</v>
      </c>
      <c r="M67" s="13" t="str">
        <f t="shared" si="18"/>
        <v/>
      </c>
      <c r="N67">
        <f t="shared" ca="1" si="6"/>
        <v>-15</v>
      </c>
      <c r="AB67">
        <v>39</v>
      </c>
      <c r="AC67">
        <v>624.32142857142856</v>
      </c>
      <c r="AD67">
        <v>35</v>
      </c>
      <c r="AE67">
        <v>1509</v>
      </c>
      <c r="AF67">
        <v>469.01379788023382</v>
      </c>
      <c r="AG67">
        <v>1474</v>
      </c>
      <c r="AH67">
        <v>1104</v>
      </c>
      <c r="AI67">
        <v>13</v>
      </c>
      <c r="AT67" s="12" t="e">
        <f t="shared" si="21"/>
        <v>#N/A</v>
      </c>
      <c r="AU67" t="e">
        <f t="shared" si="21"/>
        <v>#N/A</v>
      </c>
      <c r="AV67" t="e">
        <f t="shared" si="21"/>
        <v>#N/A</v>
      </c>
      <c r="AW67">
        <f t="shared" ca="1" si="21"/>
        <v>179</v>
      </c>
      <c r="AX67" t="e">
        <f t="shared" si="21"/>
        <v>#N/A</v>
      </c>
      <c r="AY67" t="e">
        <f t="shared" si="21"/>
        <v>#N/A</v>
      </c>
      <c r="AZ67" s="13" t="e">
        <f t="shared" si="21"/>
        <v>#N/A</v>
      </c>
      <c r="BB67">
        <v>127</v>
      </c>
    </row>
    <row r="68" spans="2:54" x14ac:dyDescent="0.45">
      <c r="B68" s="11">
        <v>4</v>
      </c>
      <c r="C68" s="13">
        <v>51</v>
      </c>
      <c r="D68">
        <v>2</v>
      </c>
      <c r="E68">
        <v>1</v>
      </c>
      <c r="F68">
        <f t="shared" si="3"/>
        <v>1</v>
      </c>
      <c r="G68">
        <v>115</v>
      </c>
      <c r="H68" s="13">
        <f t="shared" ca="1" si="20"/>
        <v>130</v>
      </c>
      <c r="I68">
        <f t="shared" ca="1" si="7"/>
        <v>179</v>
      </c>
      <c r="J68">
        <f t="shared" ca="1" si="5"/>
        <v>164</v>
      </c>
      <c r="K68">
        <f t="shared" ca="1" si="8"/>
        <v>0</v>
      </c>
      <c r="L68">
        <f t="shared" ca="1" si="9"/>
        <v>130</v>
      </c>
      <c r="M68" s="13" t="str">
        <f t="shared" si="18"/>
        <v/>
      </c>
      <c r="N68">
        <f t="shared" ca="1" si="6"/>
        <v>-22</v>
      </c>
      <c r="AB68">
        <v>40</v>
      </c>
      <c r="AC68">
        <v>563.20408163265301</v>
      </c>
      <c r="AD68">
        <v>55</v>
      </c>
      <c r="AE68">
        <v>1392</v>
      </c>
      <c r="AF68">
        <v>415.23101411790174</v>
      </c>
      <c r="AG68">
        <v>1337</v>
      </c>
      <c r="AH68">
        <v>939</v>
      </c>
      <c r="AI68">
        <v>10</v>
      </c>
      <c r="AT68" s="12" t="e">
        <f t="shared" si="21"/>
        <v>#N/A</v>
      </c>
      <c r="AU68" t="e">
        <f t="shared" si="21"/>
        <v>#N/A</v>
      </c>
      <c r="AV68" t="e">
        <f t="shared" si="21"/>
        <v>#N/A</v>
      </c>
      <c r="AW68">
        <f t="shared" ca="1" si="21"/>
        <v>164</v>
      </c>
      <c r="AX68" t="e">
        <f t="shared" si="21"/>
        <v>#N/A</v>
      </c>
      <c r="AY68" t="e">
        <f t="shared" si="21"/>
        <v>#N/A</v>
      </c>
      <c r="AZ68" s="13" t="e">
        <f t="shared" si="21"/>
        <v>#N/A</v>
      </c>
      <c r="BB68">
        <v>115</v>
      </c>
    </row>
    <row r="69" spans="2:54" x14ac:dyDescent="0.45">
      <c r="B69" s="11">
        <v>4</v>
      </c>
      <c r="C69" s="13">
        <v>52</v>
      </c>
      <c r="D69">
        <v>3</v>
      </c>
      <c r="E69">
        <v>1</v>
      </c>
      <c r="F69">
        <f t="shared" si="3"/>
        <v>1</v>
      </c>
      <c r="G69">
        <v>123</v>
      </c>
      <c r="H69" s="13">
        <f t="shared" ca="1" si="20"/>
        <v>145</v>
      </c>
      <c r="I69">
        <f t="shared" ca="1" si="7"/>
        <v>164</v>
      </c>
      <c r="J69">
        <f t="shared" ca="1" si="5"/>
        <v>142</v>
      </c>
      <c r="K69">
        <f t="shared" ca="1" si="8"/>
        <v>0</v>
      </c>
      <c r="L69">
        <f t="shared" ca="1" si="9"/>
        <v>145</v>
      </c>
      <c r="M69" s="13" t="str">
        <f t="shared" si="18"/>
        <v/>
      </c>
      <c r="N69">
        <f t="shared" ca="1" si="6"/>
        <v>14</v>
      </c>
      <c r="AB69">
        <v>41</v>
      </c>
      <c r="AC69">
        <v>513.5408163265306</v>
      </c>
      <c r="AD69">
        <v>49</v>
      </c>
      <c r="AE69">
        <v>1237</v>
      </c>
      <c r="AF69">
        <v>362.51681645349709</v>
      </c>
      <c r="AG69">
        <v>1188</v>
      </c>
      <c r="AH69">
        <v>824</v>
      </c>
      <c r="AI69">
        <v>9</v>
      </c>
      <c r="AT69" s="12" t="e">
        <f t="shared" si="21"/>
        <v>#N/A</v>
      </c>
      <c r="AU69" t="e">
        <f t="shared" si="21"/>
        <v>#N/A</v>
      </c>
      <c r="AV69" t="e">
        <f t="shared" si="21"/>
        <v>#N/A</v>
      </c>
      <c r="AW69">
        <f t="shared" ca="1" si="21"/>
        <v>142</v>
      </c>
      <c r="AX69" t="e">
        <f t="shared" si="21"/>
        <v>#N/A</v>
      </c>
      <c r="AY69" t="e">
        <f t="shared" si="21"/>
        <v>#N/A</v>
      </c>
      <c r="AZ69" s="13" t="e">
        <f t="shared" si="21"/>
        <v>#N/A</v>
      </c>
      <c r="BB69">
        <v>123</v>
      </c>
    </row>
    <row r="70" spans="2:54" x14ac:dyDescent="0.45">
      <c r="B70" s="11">
        <v>4</v>
      </c>
      <c r="C70" s="13">
        <v>53</v>
      </c>
      <c r="D70">
        <v>4</v>
      </c>
      <c r="E70">
        <v>1</v>
      </c>
      <c r="F70">
        <f t="shared" si="3"/>
        <v>1</v>
      </c>
      <c r="G70">
        <v>136</v>
      </c>
      <c r="H70" s="13">
        <f t="shared" ca="1" si="20"/>
        <v>122</v>
      </c>
      <c r="I70">
        <f t="shared" ca="1" si="7"/>
        <v>142</v>
      </c>
      <c r="J70">
        <f t="shared" ca="1" si="5"/>
        <v>156</v>
      </c>
      <c r="K70">
        <f t="shared" ca="1" si="8"/>
        <v>0</v>
      </c>
      <c r="L70">
        <f t="shared" ca="1" si="9"/>
        <v>122</v>
      </c>
      <c r="M70" s="13" t="str">
        <f t="shared" si="18"/>
        <v/>
      </c>
      <c r="N70">
        <f t="shared" ca="1" si="6"/>
        <v>-19</v>
      </c>
      <c r="AB70">
        <v>42</v>
      </c>
      <c r="AC70">
        <v>494.79591836734693</v>
      </c>
      <c r="AD70">
        <v>72</v>
      </c>
      <c r="AE70">
        <v>1141</v>
      </c>
      <c r="AF70">
        <v>334.25730829198869</v>
      </c>
      <c r="AG70">
        <v>1069</v>
      </c>
      <c r="AH70">
        <v>735</v>
      </c>
      <c r="AI70">
        <v>10</v>
      </c>
      <c r="AT70" s="12" t="e">
        <f t="shared" si="21"/>
        <v>#N/A</v>
      </c>
      <c r="AU70" t="e">
        <f t="shared" si="21"/>
        <v>#N/A</v>
      </c>
      <c r="AV70" t="e">
        <f t="shared" si="21"/>
        <v>#N/A</v>
      </c>
      <c r="AW70">
        <f t="shared" ca="1" si="21"/>
        <v>156</v>
      </c>
      <c r="AX70" t="e">
        <f t="shared" si="21"/>
        <v>#N/A</v>
      </c>
      <c r="AY70" t="e">
        <f t="shared" si="21"/>
        <v>#N/A</v>
      </c>
      <c r="AZ70" s="13" t="e">
        <f t="shared" si="21"/>
        <v>#N/A</v>
      </c>
      <c r="BB70">
        <v>136</v>
      </c>
    </row>
    <row r="71" spans="2:54" x14ac:dyDescent="0.45">
      <c r="B71" s="11">
        <v>4</v>
      </c>
      <c r="C71" s="13">
        <v>54</v>
      </c>
      <c r="D71">
        <v>5</v>
      </c>
      <c r="E71">
        <v>1</v>
      </c>
      <c r="F71">
        <f t="shared" si="3"/>
        <v>1</v>
      </c>
      <c r="G71">
        <v>111</v>
      </c>
      <c r="H71" s="13">
        <f t="shared" ca="1" si="20"/>
        <v>130</v>
      </c>
      <c r="I71">
        <f t="shared" ca="1" si="7"/>
        <v>156</v>
      </c>
      <c r="J71">
        <f t="shared" ca="1" si="5"/>
        <v>137</v>
      </c>
      <c r="K71">
        <f t="shared" ca="1" si="8"/>
        <v>0</v>
      </c>
      <c r="L71">
        <f t="shared" ca="1" si="9"/>
        <v>130</v>
      </c>
      <c r="M71" s="13" t="str">
        <f t="shared" si="18"/>
        <v/>
      </c>
      <c r="N71">
        <f t="shared" ca="1" si="6"/>
        <v>0</v>
      </c>
      <c r="AB71">
        <v>43</v>
      </c>
      <c r="AC71">
        <v>538.92346938775506</v>
      </c>
      <c r="AD71">
        <v>51</v>
      </c>
      <c r="AE71">
        <v>1339</v>
      </c>
      <c r="AF71">
        <v>398.7557935862194</v>
      </c>
      <c r="AG71">
        <v>1288</v>
      </c>
      <c r="AH71">
        <v>884</v>
      </c>
      <c r="AI71">
        <v>13</v>
      </c>
      <c r="AT71" s="12" t="e">
        <f t="shared" si="21"/>
        <v>#N/A</v>
      </c>
      <c r="AU71" t="e">
        <f t="shared" si="21"/>
        <v>#N/A</v>
      </c>
      <c r="AV71" t="e">
        <f t="shared" si="21"/>
        <v>#N/A</v>
      </c>
      <c r="AW71">
        <f t="shared" ca="1" si="21"/>
        <v>137</v>
      </c>
      <c r="AX71" t="e">
        <f t="shared" si="21"/>
        <v>#N/A</v>
      </c>
      <c r="AY71" t="e">
        <f t="shared" si="21"/>
        <v>#N/A</v>
      </c>
      <c r="AZ71" s="13" t="e">
        <f t="shared" si="21"/>
        <v>#N/A</v>
      </c>
      <c r="BB71">
        <v>117</v>
      </c>
    </row>
    <row r="72" spans="2:54" x14ac:dyDescent="0.45">
      <c r="B72" s="11">
        <v>4</v>
      </c>
      <c r="C72" s="13">
        <v>55</v>
      </c>
      <c r="D72">
        <v>6</v>
      </c>
      <c r="E72">
        <v>0</v>
      </c>
      <c r="F72">
        <f t="shared" si="3"/>
        <v>0</v>
      </c>
      <c r="G72">
        <v>0</v>
      </c>
      <c r="H72" s="13">
        <f t="shared" ca="1" si="20"/>
        <v>0</v>
      </c>
      <c r="I72">
        <f t="shared" ca="1" si="7"/>
        <v>137</v>
      </c>
      <c r="J72">
        <f t="shared" ca="1" si="5"/>
        <v>137</v>
      </c>
      <c r="K72">
        <f t="shared" ca="1" si="8"/>
        <v>0</v>
      </c>
      <c r="L72" t="str">
        <f t="shared" ca="1" si="9"/>
        <v/>
      </c>
      <c r="M72" s="13" t="str">
        <f t="shared" si="18"/>
        <v/>
      </c>
      <c r="N72">
        <f t="shared" ca="1" si="6"/>
        <v>0</v>
      </c>
      <c r="AB72">
        <v>44</v>
      </c>
      <c r="AC72">
        <v>587.25510204081638</v>
      </c>
      <c r="AD72">
        <v>65</v>
      </c>
      <c r="AE72">
        <v>1482</v>
      </c>
      <c r="AF72">
        <v>451.6770860083447</v>
      </c>
      <c r="AG72">
        <v>1417</v>
      </c>
      <c r="AH72">
        <v>1087</v>
      </c>
      <c r="AI72">
        <v>10</v>
      </c>
      <c r="AT72" s="12" t="e">
        <f t="shared" si="21"/>
        <v>#N/A</v>
      </c>
      <c r="AU72" t="e">
        <f t="shared" si="21"/>
        <v>#N/A</v>
      </c>
      <c r="AV72" t="e">
        <f t="shared" si="21"/>
        <v>#N/A</v>
      </c>
      <c r="AW72">
        <f t="shared" ca="1" si="21"/>
        <v>137</v>
      </c>
      <c r="AX72" t="e">
        <f t="shared" si="21"/>
        <v>#N/A</v>
      </c>
      <c r="AY72" t="e">
        <f t="shared" si="21"/>
        <v>#N/A</v>
      </c>
      <c r="AZ72" s="13" t="e">
        <f t="shared" si="21"/>
        <v>#N/A</v>
      </c>
      <c r="BB72">
        <v>117</v>
      </c>
    </row>
    <row r="73" spans="2:54" x14ac:dyDescent="0.45">
      <c r="B73" s="11">
        <v>4</v>
      </c>
      <c r="C73" s="13">
        <v>56</v>
      </c>
      <c r="D73" s="15">
        <v>7</v>
      </c>
      <c r="E73" s="15">
        <v>0</v>
      </c>
      <c r="F73">
        <f t="shared" si="3"/>
        <v>0</v>
      </c>
      <c r="G73" s="15">
        <v>0</v>
      </c>
      <c r="H73" s="13">
        <f t="shared" ca="1" si="20"/>
        <v>0</v>
      </c>
      <c r="I73">
        <f t="shared" ca="1" si="7"/>
        <v>137</v>
      </c>
      <c r="J73">
        <f t="shared" ca="1" si="5"/>
        <v>137</v>
      </c>
      <c r="K73">
        <f t="shared" ca="1" si="8"/>
        <v>0</v>
      </c>
      <c r="L73" t="str">
        <f t="shared" ca="1" si="9"/>
        <v/>
      </c>
      <c r="M73" s="13">
        <f t="shared" ca="1" si="18"/>
        <v>-79</v>
      </c>
      <c r="N73">
        <f t="shared" ca="1" si="6"/>
        <v>10</v>
      </c>
      <c r="AB73">
        <v>45</v>
      </c>
      <c r="AC73">
        <v>508.19387755102042</v>
      </c>
      <c r="AD73">
        <v>54</v>
      </c>
      <c r="AE73">
        <v>1249</v>
      </c>
      <c r="AF73">
        <v>359.72573617776931</v>
      </c>
      <c r="AG73">
        <v>1195</v>
      </c>
      <c r="AH73">
        <v>836</v>
      </c>
      <c r="AI73">
        <v>15</v>
      </c>
      <c r="AT73" s="12" t="e">
        <f t="shared" si="21"/>
        <v>#N/A</v>
      </c>
      <c r="AU73" t="e">
        <f t="shared" si="21"/>
        <v>#N/A</v>
      </c>
      <c r="AV73" t="e">
        <f t="shared" si="21"/>
        <v>#N/A</v>
      </c>
      <c r="AW73">
        <f t="shared" ca="1" si="21"/>
        <v>137</v>
      </c>
      <c r="AX73" t="e">
        <f t="shared" si="21"/>
        <v>#N/A</v>
      </c>
      <c r="AY73" t="e">
        <f t="shared" si="21"/>
        <v>#N/A</v>
      </c>
      <c r="AZ73" s="13" t="e">
        <f t="shared" si="21"/>
        <v>#N/A</v>
      </c>
      <c r="BB73">
        <v>117</v>
      </c>
    </row>
    <row r="74" spans="2:54" x14ac:dyDescent="0.45">
      <c r="B74" s="7">
        <v>5</v>
      </c>
      <c r="C74" s="13">
        <v>57</v>
      </c>
      <c r="D74" s="8">
        <v>1</v>
      </c>
      <c r="E74" s="8">
        <v>1</v>
      </c>
      <c r="F74">
        <f t="shared" si="3"/>
        <v>1</v>
      </c>
      <c r="G74" s="8">
        <v>137</v>
      </c>
      <c r="H74" s="13">
        <f t="shared" ca="1" si="20"/>
        <v>127</v>
      </c>
      <c r="I74">
        <f t="shared" ca="1" si="7"/>
        <v>137</v>
      </c>
      <c r="J74">
        <f t="shared" ca="1" si="5"/>
        <v>147</v>
      </c>
      <c r="K74">
        <f t="shared" ca="1" si="8"/>
        <v>0</v>
      </c>
      <c r="L74">
        <f t="shared" ca="1" si="9"/>
        <v>127</v>
      </c>
      <c r="M74" s="13" t="str">
        <f t="shared" si="18"/>
        <v/>
      </c>
      <c r="N74">
        <f t="shared" ca="1" si="6"/>
        <v>5</v>
      </c>
      <c r="AB74">
        <v>46</v>
      </c>
      <c r="AC74">
        <v>621.74489795918362</v>
      </c>
      <c r="AD74">
        <v>4</v>
      </c>
      <c r="AE74">
        <v>1597</v>
      </c>
      <c r="AF74">
        <v>491.79509403285584</v>
      </c>
      <c r="AG74">
        <v>1593</v>
      </c>
      <c r="AH74">
        <v>1176</v>
      </c>
      <c r="AI74">
        <v>10</v>
      </c>
      <c r="AT74" s="12" t="e">
        <f t="shared" si="21"/>
        <v>#N/A</v>
      </c>
      <c r="AU74" t="e">
        <f t="shared" si="21"/>
        <v>#N/A</v>
      </c>
      <c r="AV74" t="e">
        <f t="shared" si="21"/>
        <v>#N/A</v>
      </c>
      <c r="AW74" t="e">
        <f t="shared" si="21"/>
        <v>#N/A</v>
      </c>
      <c r="AX74">
        <f t="shared" ca="1" si="21"/>
        <v>147</v>
      </c>
      <c r="AY74" t="e">
        <f t="shared" si="21"/>
        <v>#N/A</v>
      </c>
      <c r="AZ74" s="13" t="e">
        <f t="shared" si="21"/>
        <v>#N/A</v>
      </c>
      <c r="BB74">
        <v>137</v>
      </c>
    </row>
    <row r="75" spans="2:54" x14ac:dyDescent="0.45">
      <c r="B75" s="7">
        <v>5</v>
      </c>
      <c r="C75" s="13">
        <v>58</v>
      </c>
      <c r="D75">
        <v>2</v>
      </c>
      <c r="E75">
        <v>1</v>
      </c>
      <c r="F75">
        <f t="shared" si="3"/>
        <v>1</v>
      </c>
      <c r="G75">
        <v>152</v>
      </c>
      <c r="H75" s="13">
        <f t="shared" ca="1" si="20"/>
        <v>147</v>
      </c>
      <c r="I75">
        <f t="shared" ca="1" si="7"/>
        <v>147</v>
      </c>
      <c r="J75">
        <f t="shared" ca="1" si="5"/>
        <v>152</v>
      </c>
      <c r="K75">
        <f t="shared" ca="1" si="8"/>
        <v>1</v>
      </c>
      <c r="L75" t="str">
        <f t="shared" ca="1" si="9"/>
        <v/>
      </c>
      <c r="M75" s="13" t="str">
        <f t="shared" si="18"/>
        <v/>
      </c>
      <c r="N75">
        <f t="shared" ca="1" si="6"/>
        <v>17</v>
      </c>
      <c r="AB75">
        <v>47</v>
      </c>
      <c r="AC75">
        <v>526.81632653061229</v>
      </c>
      <c r="AD75">
        <v>55</v>
      </c>
      <c r="AE75">
        <v>1273</v>
      </c>
      <c r="AF75">
        <v>378.18718632009427</v>
      </c>
      <c r="AG75">
        <v>1218</v>
      </c>
      <c r="AH75">
        <v>916</v>
      </c>
      <c r="AI75">
        <v>15</v>
      </c>
      <c r="AT75" s="12" t="e">
        <f t="shared" si="21"/>
        <v>#N/A</v>
      </c>
      <c r="AU75" t="e">
        <f t="shared" si="21"/>
        <v>#N/A</v>
      </c>
      <c r="AV75" t="e">
        <f t="shared" si="21"/>
        <v>#N/A</v>
      </c>
      <c r="AW75" t="e">
        <f t="shared" si="21"/>
        <v>#N/A</v>
      </c>
      <c r="AX75">
        <f t="shared" ca="1" si="21"/>
        <v>152</v>
      </c>
      <c r="AY75" t="e">
        <f t="shared" si="21"/>
        <v>#N/A</v>
      </c>
      <c r="AZ75" s="13" t="e">
        <f t="shared" si="21"/>
        <v>#N/A</v>
      </c>
      <c r="BB75">
        <v>159</v>
      </c>
    </row>
    <row r="76" spans="2:54" x14ac:dyDescent="0.45">
      <c r="B76" s="7">
        <v>5</v>
      </c>
      <c r="C76" s="13">
        <v>59</v>
      </c>
      <c r="D76">
        <v>3</v>
      </c>
      <c r="E76">
        <v>1</v>
      </c>
      <c r="F76">
        <f t="shared" si="3"/>
        <v>1</v>
      </c>
      <c r="G76">
        <v>143</v>
      </c>
      <c r="H76" s="13">
        <f t="shared" ca="1" si="20"/>
        <v>126</v>
      </c>
      <c r="I76">
        <f t="shared" ca="1" si="7"/>
        <v>152</v>
      </c>
      <c r="J76">
        <f t="shared" ca="1" si="5"/>
        <v>169</v>
      </c>
      <c r="K76">
        <f t="shared" ca="1" si="8"/>
        <v>0</v>
      </c>
      <c r="L76">
        <f t="shared" ca="1" si="9"/>
        <v>126</v>
      </c>
      <c r="M76" s="13" t="str">
        <f t="shared" si="18"/>
        <v/>
      </c>
      <c r="N76">
        <f t="shared" ca="1" si="6"/>
        <v>10</v>
      </c>
      <c r="AB76">
        <v>48</v>
      </c>
      <c r="AC76">
        <v>512.85714285714289</v>
      </c>
      <c r="AD76">
        <v>30</v>
      </c>
      <c r="AE76">
        <v>1259</v>
      </c>
      <c r="AF76">
        <v>367.02381338523082</v>
      </c>
      <c r="AG76">
        <v>1229</v>
      </c>
      <c r="AH76">
        <v>777</v>
      </c>
      <c r="AI76">
        <v>16</v>
      </c>
      <c r="AT76" s="12" t="e">
        <f t="shared" si="21"/>
        <v>#N/A</v>
      </c>
      <c r="AU76" t="e">
        <f t="shared" si="21"/>
        <v>#N/A</v>
      </c>
      <c r="AV76" t="e">
        <f t="shared" si="21"/>
        <v>#N/A</v>
      </c>
      <c r="AW76" t="e">
        <f t="shared" si="21"/>
        <v>#N/A</v>
      </c>
      <c r="AX76">
        <f t="shared" ca="1" si="21"/>
        <v>169</v>
      </c>
      <c r="AY76" t="e">
        <f t="shared" si="21"/>
        <v>#N/A</v>
      </c>
      <c r="AZ76" s="13" t="e">
        <f t="shared" si="21"/>
        <v>#N/A</v>
      </c>
      <c r="BB76">
        <v>172</v>
      </c>
    </row>
    <row r="77" spans="2:54" x14ac:dyDescent="0.45">
      <c r="B77" s="7">
        <v>5</v>
      </c>
      <c r="C77" s="13">
        <v>60</v>
      </c>
      <c r="D77">
        <v>4</v>
      </c>
      <c r="E77">
        <v>1</v>
      </c>
      <c r="F77">
        <f t="shared" si="3"/>
        <v>1</v>
      </c>
      <c r="G77">
        <v>166</v>
      </c>
      <c r="H77" s="13">
        <f t="shared" ca="1" si="20"/>
        <v>156</v>
      </c>
      <c r="I77">
        <f t="shared" ca="1" si="7"/>
        <v>169</v>
      </c>
      <c r="J77">
        <f t="shared" ca="1" si="5"/>
        <v>179</v>
      </c>
      <c r="K77">
        <f t="shared" ca="1" si="8"/>
        <v>0</v>
      </c>
      <c r="L77">
        <f t="shared" ca="1" si="9"/>
        <v>156</v>
      </c>
      <c r="M77" s="13" t="str">
        <f t="shared" si="18"/>
        <v/>
      </c>
      <c r="N77">
        <f t="shared" ca="1" si="6"/>
        <v>13</v>
      </c>
      <c r="AB77">
        <v>49</v>
      </c>
      <c r="AC77">
        <v>546.62244897959181</v>
      </c>
      <c r="AD77">
        <v>55</v>
      </c>
      <c r="AE77">
        <v>1368</v>
      </c>
      <c r="AF77">
        <v>404.42950535558822</v>
      </c>
      <c r="AG77">
        <v>1313</v>
      </c>
      <c r="AH77">
        <v>968</v>
      </c>
      <c r="AI77">
        <v>16</v>
      </c>
      <c r="AT77" s="12" t="e">
        <f t="shared" si="21"/>
        <v>#N/A</v>
      </c>
      <c r="AU77" t="e">
        <f t="shared" si="21"/>
        <v>#N/A</v>
      </c>
      <c r="AV77" t="e">
        <f t="shared" si="21"/>
        <v>#N/A</v>
      </c>
      <c r="AW77" t="e">
        <f t="shared" si="21"/>
        <v>#N/A</v>
      </c>
      <c r="AX77">
        <f t="shared" ca="1" si="21"/>
        <v>179</v>
      </c>
      <c r="AY77" t="e">
        <f t="shared" si="21"/>
        <v>#N/A</v>
      </c>
      <c r="AZ77" s="13" t="e">
        <f t="shared" si="21"/>
        <v>#N/A</v>
      </c>
      <c r="BB77">
        <v>208</v>
      </c>
    </row>
    <row r="78" spans="2:54" x14ac:dyDescent="0.45">
      <c r="B78" s="7">
        <v>5</v>
      </c>
      <c r="C78" s="13">
        <v>61</v>
      </c>
      <c r="D78">
        <v>5</v>
      </c>
      <c r="E78">
        <v>1</v>
      </c>
      <c r="F78">
        <f t="shared" si="3"/>
        <v>1</v>
      </c>
      <c r="G78">
        <v>159</v>
      </c>
      <c r="H78" s="13">
        <f t="shared" ca="1" si="20"/>
        <v>146</v>
      </c>
      <c r="I78">
        <f t="shared" ca="1" si="7"/>
        <v>179</v>
      </c>
      <c r="J78">
        <f t="shared" ca="1" si="5"/>
        <v>192</v>
      </c>
      <c r="K78">
        <f t="shared" ca="1" si="8"/>
        <v>0</v>
      </c>
      <c r="L78">
        <f t="shared" ca="1" si="9"/>
        <v>146</v>
      </c>
      <c r="M78" s="13" t="str">
        <f t="shared" si="18"/>
        <v/>
      </c>
      <c r="N78">
        <f t="shared" ca="1" si="6"/>
        <v>-135</v>
      </c>
      <c r="AB78">
        <v>50</v>
      </c>
      <c r="AC78">
        <v>600.28571428571433</v>
      </c>
      <c r="AD78">
        <v>48</v>
      </c>
      <c r="AE78">
        <v>1496</v>
      </c>
      <c r="AF78">
        <v>451.31299379404862</v>
      </c>
      <c r="AG78">
        <v>1448</v>
      </c>
      <c r="AH78">
        <v>1056</v>
      </c>
      <c r="AI78">
        <v>8</v>
      </c>
      <c r="AT78" s="12" t="e">
        <f t="shared" si="21"/>
        <v>#N/A</v>
      </c>
      <c r="AU78" t="e">
        <f t="shared" si="21"/>
        <v>#N/A</v>
      </c>
      <c r="AV78" t="e">
        <f t="shared" si="21"/>
        <v>#N/A</v>
      </c>
      <c r="AW78" t="e">
        <f t="shared" si="21"/>
        <v>#N/A</v>
      </c>
      <c r="AX78">
        <f t="shared" ca="1" si="21"/>
        <v>192</v>
      </c>
      <c r="AY78" t="e">
        <f t="shared" si="21"/>
        <v>#N/A</v>
      </c>
      <c r="AZ78" s="13" t="e">
        <f t="shared" si="21"/>
        <v>#N/A</v>
      </c>
      <c r="BB78">
        <v>237</v>
      </c>
    </row>
    <row r="79" spans="2:54" x14ac:dyDescent="0.45">
      <c r="B79" s="7">
        <v>5</v>
      </c>
      <c r="C79" s="13">
        <v>62</v>
      </c>
      <c r="D79">
        <v>6</v>
      </c>
      <c r="E79">
        <v>0</v>
      </c>
      <c r="F79">
        <f t="shared" si="3"/>
        <v>1</v>
      </c>
      <c r="G79">
        <v>0</v>
      </c>
      <c r="H79" s="13">
        <f t="shared" ca="1" si="20"/>
        <v>135</v>
      </c>
      <c r="I79">
        <f t="shared" ca="1" si="7"/>
        <v>192</v>
      </c>
      <c r="J79">
        <f t="shared" ca="1" si="5"/>
        <v>57</v>
      </c>
      <c r="K79">
        <f t="shared" ca="1" si="8"/>
        <v>0</v>
      </c>
      <c r="L79">
        <f t="shared" ca="1" si="9"/>
        <v>135</v>
      </c>
      <c r="M79" s="13" t="str">
        <f t="shared" si="18"/>
        <v/>
      </c>
      <c r="N79">
        <f t="shared" ca="1" si="6"/>
        <v>0</v>
      </c>
      <c r="AB79">
        <v>51</v>
      </c>
      <c r="AC79">
        <v>515.55612244897964</v>
      </c>
      <c r="AD79">
        <v>40</v>
      </c>
      <c r="AE79">
        <v>1262</v>
      </c>
      <c r="AF79">
        <v>381.34628849410598</v>
      </c>
      <c r="AG79">
        <v>1222</v>
      </c>
      <c r="AH79">
        <v>912</v>
      </c>
      <c r="AI79">
        <v>13</v>
      </c>
      <c r="AT79" s="12" t="e">
        <f t="shared" si="21"/>
        <v>#N/A</v>
      </c>
      <c r="AU79" t="e">
        <f t="shared" si="21"/>
        <v>#N/A</v>
      </c>
      <c r="AV79" t="e">
        <f t="shared" si="21"/>
        <v>#N/A</v>
      </c>
      <c r="AW79" t="e">
        <f t="shared" si="21"/>
        <v>#N/A</v>
      </c>
      <c r="AX79">
        <f t="shared" ca="1" si="21"/>
        <v>57</v>
      </c>
      <c r="AY79" t="e">
        <f t="shared" si="21"/>
        <v>#N/A</v>
      </c>
      <c r="AZ79" s="13" t="e">
        <f t="shared" si="21"/>
        <v>#N/A</v>
      </c>
      <c r="BB79">
        <v>237</v>
      </c>
    </row>
    <row r="80" spans="2:54" x14ac:dyDescent="0.45">
      <c r="B80" s="7">
        <v>5</v>
      </c>
      <c r="C80" s="13">
        <v>63</v>
      </c>
      <c r="D80" s="15">
        <v>7</v>
      </c>
      <c r="E80" s="15">
        <v>0</v>
      </c>
      <c r="F80">
        <f t="shared" si="3"/>
        <v>0</v>
      </c>
      <c r="G80" s="15">
        <v>0</v>
      </c>
      <c r="H80" s="13">
        <f t="shared" ca="1" si="20"/>
        <v>0</v>
      </c>
      <c r="I80">
        <f t="shared" ca="1" si="7"/>
        <v>57</v>
      </c>
      <c r="J80">
        <f t="shared" ca="1" si="5"/>
        <v>57</v>
      </c>
      <c r="K80">
        <f t="shared" ca="1" si="8"/>
        <v>0</v>
      </c>
      <c r="L80" t="str">
        <f t="shared" ca="1" si="9"/>
        <v/>
      </c>
      <c r="M80" s="13" t="str">
        <f t="shared" si="18"/>
        <v/>
      </c>
      <c r="N80">
        <f t="shared" ca="1" si="6"/>
        <v>102</v>
      </c>
      <c r="AB80">
        <v>52</v>
      </c>
      <c r="AC80">
        <v>536.60714285714289</v>
      </c>
      <c r="AD80">
        <v>68</v>
      </c>
      <c r="AE80">
        <v>1258</v>
      </c>
      <c r="AF80">
        <v>374.10252298545333</v>
      </c>
      <c r="AG80">
        <v>1190</v>
      </c>
      <c r="AH80">
        <v>851</v>
      </c>
      <c r="AI80">
        <v>14</v>
      </c>
      <c r="AT80" s="12" t="e">
        <f t="shared" si="21"/>
        <v>#N/A</v>
      </c>
      <c r="AU80" t="e">
        <f t="shared" si="21"/>
        <v>#N/A</v>
      </c>
      <c r="AV80" t="e">
        <f t="shared" si="21"/>
        <v>#N/A</v>
      </c>
      <c r="AW80" t="e">
        <f t="shared" si="21"/>
        <v>#N/A</v>
      </c>
      <c r="AX80">
        <f t="shared" ca="1" si="21"/>
        <v>57</v>
      </c>
      <c r="AY80" t="e">
        <f t="shared" si="21"/>
        <v>#N/A</v>
      </c>
      <c r="AZ80" s="13" t="e">
        <f t="shared" si="21"/>
        <v>#N/A</v>
      </c>
      <c r="BB80">
        <v>237</v>
      </c>
    </row>
    <row r="81" spans="2:54" x14ac:dyDescent="0.45">
      <c r="B81" s="7">
        <v>5</v>
      </c>
      <c r="C81" s="13">
        <v>64</v>
      </c>
      <c r="D81" s="8">
        <v>1</v>
      </c>
      <c r="E81" s="8">
        <v>1</v>
      </c>
      <c r="F81">
        <f t="shared" si="3"/>
        <v>1</v>
      </c>
      <c r="G81" s="8">
        <v>159</v>
      </c>
      <c r="H81" s="13">
        <f t="shared" ca="1" si="20"/>
        <v>57</v>
      </c>
      <c r="I81">
        <f t="shared" ca="1" si="7"/>
        <v>57</v>
      </c>
      <c r="J81">
        <f t="shared" ca="1" si="5"/>
        <v>159</v>
      </c>
      <c r="K81">
        <f t="shared" ca="1" si="8"/>
        <v>1</v>
      </c>
      <c r="L81" t="str">
        <f t="shared" ca="1" si="9"/>
        <v/>
      </c>
      <c r="M81" s="13" t="str">
        <f t="shared" si="18"/>
        <v/>
      </c>
      <c r="N81">
        <f t="shared" ca="1" si="6"/>
        <v>-3</v>
      </c>
      <c r="AB81">
        <v>53</v>
      </c>
      <c r="AC81">
        <v>541.35714285714289</v>
      </c>
      <c r="AD81">
        <v>33</v>
      </c>
      <c r="AE81">
        <v>1386</v>
      </c>
      <c r="AF81">
        <v>411.69881377689944</v>
      </c>
      <c r="AG81">
        <v>1353</v>
      </c>
      <c r="AH81">
        <v>945</v>
      </c>
      <c r="AI81">
        <v>13</v>
      </c>
      <c r="AT81" s="12" t="e">
        <f t="shared" si="21"/>
        <v>#N/A</v>
      </c>
      <c r="AU81" t="e">
        <f t="shared" si="21"/>
        <v>#N/A</v>
      </c>
      <c r="AV81" t="e">
        <f t="shared" si="21"/>
        <v>#N/A</v>
      </c>
      <c r="AW81" t="e">
        <f t="shared" si="21"/>
        <v>#N/A</v>
      </c>
      <c r="AX81">
        <f t="shared" ca="1" si="21"/>
        <v>159</v>
      </c>
      <c r="AY81" t="e">
        <f t="shared" si="21"/>
        <v>#N/A</v>
      </c>
      <c r="AZ81" s="13" t="e">
        <f t="shared" si="21"/>
        <v>#N/A</v>
      </c>
      <c r="BB81">
        <v>266</v>
      </c>
    </row>
    <row r="82" spans="2:54" x14ac:dyDescent="0.45">
      <c r="B82" s="7">
        <v>5</v>
      </c>
      <c r="C82" s="13">
        <v>65</v>
      </c>
      <c r="D82">
        <v>2</v>
      </c>
      <c r="E82">
        <v>1</v>
      </c>
      <c r="F82">
        <f t="shared" si="3"/>
        <v>1</v>
      </c>
      <c r="G82">
        <v>138</v>
      </c>
      <c r="H82" s="13">
        <f t="shared" ca="1" si="20"/>
        <v>141</v>
      </c>
      <c r="I82">
        <f t="shared" ca="1" si="7"/>
        <v>159</v>
      </c>
      <c r="J82">
        <f t="shared" ca="1" si="5"/>
        <v>156</v>
      </c>
      <c r="K82">
        <f t="shared" ca="1" si="8"/>
        <v>0</v>
      </c>
      <c r="L82">
        <f t="shared" ca="1" si="9"/>
        <v>141</v>
      </c>
      <c r="M82" s="13" t="str">
        <f t="shared" si="18"/>
        <v/>
      </c>
      <c r="N82">
        <f t="shared" ca="1" si="6"/>
        <v>33</v>
      </c>
      <c r="AB82">
        <v>54</v>
      </c>
      <c r="AC82">
        <v>571.77551020408168</v>
      </c>
      <c r="AD82">
        <v>28</v>
      </c>
      <c r="AE82">
        <v>1405</v>
      </c>
      <c r="AF82">
        <v>427.68302039110944</v>
      </c>
      <c r="AG82">
        <v>1377</v>
      </c>
      <c r="AH82">
        <v>1017</v>
      </c>
      <c r="AI82">
        <v>14</v>
      </c>
      <c r="AT82" s="12" t="e">
        <f t="shared" ref="AT82:AZ97" si="22">IF($B82=AT$17,$J82,NA())</f>
        <v>#N/A</v>
      </c>
      <c r="AU82" t="e">
        <f t="shared" si="22"/>
        <v>#N/A</v>
      </c>
      <c r="AV82" t="e">
        <f t="shared" si="22"/>
        <v>#N/A</v>
      </c>
      <c r="AW82" t="e">
        <f t="shared" si="22"/>
        <v>#N/A</v>
      </c>
      <c r="AX82">
        <f t="shared" ca="1" si="22"/>
        <v>156</v>
      </c>
      <c r="AY82" t="e">
        <f t="shared" si="22"/>
        <v>#N/A</v>
      </c>
      <c r="AZ82" s="13" t="e">
        <f t="shared" si="22"/>
        <v>#N/A</v>
      </c>
      <c r="BB82">
        <v>274</v>
      </c>
    </row>
    <row r="83" spans="2:54" x14ac:dyDescent="0.45">
      <c r="B83" s="7">
        <v>5</v>
      </c>
      <c r="C83" s="13">
        <v>66</v>
      </c>
      <c r="D83">
        <v>3</v>
      </c>
      <c r="E83">
        <v>1</v>
      </c>
      <c r="F83">
        <f t="shared" ref="F83:F146" si="23">IF(D83&lt;=INDEX($C$2:$C$15,B83),1,0)</f>
        <v>1</v>
      </c>
      <c r="G83">
        <v>169</v>
      </c>
      <c r="H83" s="13">
        <f t="shared" ref="H83:H114" ca="1" si="24">IF(F83=1,MIN(I83,RANDBETWEEN(lower,upper)),0)</f>
        <v>136</v>
      </c>
      <c r="I83">
        <f t="shared" ca="1" si="7"/>
        <v>156</v>
      </c>
      <c r="J83">
        <f t="shared" ref="J83:J146" ca="1" si="25">I83+G83-H83</f>
        <v>189</v>
      </c>
      <c r="K83">
        <f t="shared" ca="1" si="8"/>
        <v>0</v>
      </c>
      <c r="L83">
        <f t="shared" ca="1" si="9"/>
        <v>136</v>
      </c>
      <c r="M83" s="13" t="str">
        <f t="shared" si="18"/>
        <v/>
      </c>
      <c r="N83">
        <f t="shared" ref="N83:N146" ca="1" si="26">J84-J83</f>
        <v>34</v>
      </c>
      <c r="AB83">
        <v>55</v>
      </c>
      <c r="AC83">
        <v>523.59183673469386</v>
      </c>
      <c r="AD83">
        <v>44</v>
      </c>
      <c r="AE83">
        <v>1262</v>
      </c>
      <c r="AF83">
        <v>383.4681115639504</v>
      </c>
      <c r="AG83">
        <v>1218</v>
      </c>
      <c r="AH83">
        <v>885</v>
      </c>
      <c r="AI83">
        <v>12</v>
      </c>
      <c r="AT83" s="12" t="e">
        <f t="shared" si="22"/>
        <v>#N/A</v>
      </c>
      <c r="AU83" t="e">
        <f t="shared" si="22"/>
        <v>#N/A</v>
      </c>
      <c r="AV83" t="e">
        <f t="shared" si="22"/>
        <v>#N/A</v>
      </c>
      <c r="AW83" t="e">
        <f t="shared" si="22"/>
        <v>#N/A</v>
      </c>
      <c r="AX83">
        <f t="shared" ca="1" si="22"/>
        <v>189</v>
      </c>
      <c r="AY83" t="e">
        <f t="shared" si="22"/>
        <v>#N/A</v>
      </c>
      <c r="AZ83" s="13" t="e">
        <f t="shared" si="22"/>
        <v>#N/A</v>
      </c>
      <c r="BB83">
        <v>313</v>
      </c>
    </row>
    <row r="84" spans="2:54" x14ac:dyDescent="0.45">
      <c r="B84" s="7">
        <v>5</v>
      </c>
      <c r="C84" s="13">
        <v>67</v>
      </c>
      <c r="D84">
        <v>4</v>
      </c>
      <c r="E84">
        <v>1</v>
      </c>
      <c r="F84">
        <f t="shared" si="23"/>
        <v>1</v>
      </c>
      <c r="G84">
        <v>156</v>
      </c>
      <c r="H84" s="13">
        <f t="shared" ca="1" si="24"/>
        <v>122</v>
      </c>
      <c r="I84">
        <f t="shared" ref="I84:I147" ca="1" si="27">J83</f>
        <v>189</v>
      </c>
      <c r="J84">
        <f t="shared" ca="1" si="25"/>
        <v>223</v>
      </c>
      <c r="K84">
        <f t="shared" ref="K84:K147" ca="1" si="28">IF(AND(H84=I84,F84=1),1,0)</f>
        <v>0</v>
      </c>
      <c r="L84">
        <f t="shared" ref="L84:L147" ca="1" si="29">IF(OR(F84=0,K84=1),"",H84)</f>
        <v>122</v>
      </c>
      <c r="M84" s="13" t="str">
        <f t="shared" si="18"/>
        <v/>
      </c>
      <c r="N84">
        <f t="shared" ca="1" si="26"/>
        <v>-8</v>
      </c>
      <c r="AB84">
        <v>56</v>
      </c>
      <c r="AC84">
        <v>494.5408163265306</v>
      </c>
      <c r="AD84">
        <v>49</v>
      </c>
      <c r="AE84">
        <v>1238</v>
      </c>
      <c r="AF84">
        <v>371.51921059917152</v>
      </c>
      <c r="AG84">
        <v>1189</v>
      </c>
      <c r="AH84">
        <v>804</v>
      </c>
      <c r="AI84">
        <v>14</v>
      </c>
      <c r="AT84" s="12" t="e">
        <f t="shared" si="22"/>
        <v>#N/A</v>
      </c>
      <c r="AU84" t="e">
        <f t="shared" si="22"/>
        <v>#N/A</v>
      </c>
      <c r="AV84" t="e">
        <f t="shared" si="22"/>
        <v>#N/A</v>
      </c>
      <c r="AW84" t="e">
        <f t="shared" si="22"/>
        <v>#N/A</v>
      </c>
      <c r="AX84">
        <f t="shared" ca="1" si="22"/>
        <v>223</v>
      </c>
      <c r="AY84" t="e">
        <f t="shared" si="22"/>
        <v>#N/A</v>
      </c>
      <c r="AZ84" s="13" t="e">
        <f t="shared" si="22"/>
        <v>#N/A</v>
      </c>
      <c r="BB84">
        <v>339</v>
      </c>
    </row>
    <row r="85" spans="2:54" x14ac:dyDescent="0.45">
      <c r="B85" s="7">
        <v>5</v>
      </c>
      <c r="C85" s="13">
        <v>68</v>
      </c>
      <c r="D85">
        <v>5</v>
      </c>
      <c r="E85">
        <v>1</v>
      </c>
      <c r="F85">
        <f t="shared" si="23"/>
        <v>1</v>
      </c>
      <c r="G85">
        <v>143</v>
      </c>
      <c r="H85" s="13">
        <f t="shared" ca="1" si="24"/>
        <v>151</v>
      </c>
      <c r="I85">
        <f t="shared" ca="1" si="27"/>
        <v>223</v>
      </c>
      <c r="J85">
        <f t="shared" ca="1" si="25"/>
        <v>215</v>
      </c>
      <c r="K85">
        <f t="shared" ca="1" si="28"/>
        <v>0</v>
      </c>
      <c r="L85">
        <f t="shared" ca="1" si="29"/>
        <v>151</v>
      </c>
      <c r="M85" s="13" t="str">
        <f t="shared" si="18"/>
        <v/>
      </c>
      <c r="N85">
        <f t="shared" ca="1" si="26"/>
        <v>-126</v>
      </c>
      <c r="AB85">
        <v>57</v>
      </c>
      <c r="AC85">
        <v>539.66326530612241</v>
      </c>
      <c r="AD85">
        <v>27</v>
      </c>
      <c r="AE85">
        <v>1354</v>
      </c>
      <c r="AF85">
        <v>403.91230721020173</v>
      </c>
      <c r="AG85">
        <v>1327</v>
      </c>
      <c r="AH85">
        <v>853</v>
      </c>
      <c r="AI85">
        <v>17</v>
      </c>
      <c r="AT85" s="12" t="e">
        <f t="shared" si="22"/>
        <v>#N/A</v>
      </c>
      <c r="AU85" t="e">
        <f t="shared" si="22"/>
        <v>#N/A</v>
      </c>
      <c r="AV85" t="e">
        <f t="shared" si="22"/>
        <v>#N/A</v>
      </c>
      <c r="AW85" t="e">
        <f t="shared" si="22"/>
        <v>#N/A</v>
      </c>
      <c r="AX85">
        <f t="shared" ca="1" si="22"/>
        <v>215</v>
      </c>
      <c r="AY85" t="e">
        <f t="shared" si="22"/>
        <v>#N/A</v>
      </c>
      <c r="AZ85" s="13" t="e">
        <f t="shared" si="22"/>
        <v>#N/A</v>
      </c>
      <c r="BB85">
        <v>352</v>
      </c>
    </row>
    <row r="86" spans="2:54" x14ac:dyDescent="0.45">
      <c r="B86" s="7">
        <v>5</v>
      </c>
      <c r="C86" s="13">
        <v>69</v>
      </c>
      <c r="D86">
        <v>6</v>
      </c>
      <c r="E86">
        <v>0</v>
      </c>
      <c r="F86">
        <f t="shared" si="23"/>
        <v>1</v>
      </c>
      <c r="G86">
        <v>0</v>
      </c>
      <c r="H86" s="13">
        <f t="shared" ca="1" si="24"/>
        <v>126</v>
      </c>
      <c r="I86">
        <f t="shared" ca="1" si="27"/>
        <v>215</v>
      </c>
      <c r="J86">
        <f t="shared" ca="1" si="25"/>
        <v>89</v>
      </c>
      <c r="K86">
        <f t="shared" ca="1" si="28"/>
        <v>0</v>
      </c>
      <c r="L86">
        <f t="shared" ca="1" si="29"/>
        <v>126</v>
      </c>
      <c r="M86" s="13" t="str">
        <f t="shared" si="18"/>
        <v/>
      </c>
      <c r="N86">
        <f t="shared" ca="1" si="26"/>
        <v>0</v>
      </c>
      <c r="AB86">
        <v>58</v>
      </c>
      <c r="AC86">
        <v>621.94897959183675</v>
      </c>
      <c r="AD86">
        <v>51</v>
      </c>
      <c r="AE86">
        <v>1490</v>
      </c>
      <c r="AF86">
        <v>470.66655670548721</v>
      </c>
      <c r="AG86">
        <v>1439</v>
      </c>
      <c r="AH86">
        <v>1033</v>
      </c>
      <c r="AI86">
        <v>11</v>
      </c>
      <c r="AT86" s="12" t="e">
        <f t="shared" si="22"/>
        <v>#N/A</v>
      </c>
      <c r="AU86" t="e">
        <f t="shared" si="22"/>
        <v>#N/A</v>
      </c>
      <c r="AV86" t="e">
        <f t="shared" si="22"/>
        <v>#N/A</v>
      </c>
      <c r="AW86" t="e">
        <f t="shared" si="22"/>
        <v>#N/A</v>
      </c>
      <c r="AX86">
        <f t="shared" ca="1" si="22"/>
        <v>89</v>
      </c>
      <c r="AY86" t="e">
        <f t="shared" si="22"/>
        <v>#N/A</v>
      </c>
      <c r="AZ86" s="13" t="e">
        <f t="shared" si="22"/>
        <v>#N/A</v>
      </c>
      <c r="BB86">
        <v>352</v>
      </c>
    </row>
    <row r="87" spans="2:54" x14ac:dyDescent="0.45">
      <c r="B87" s="7">
        <v>5</v>
      </c>
      <c r="C87" s="13">
        <v>70</v>
      </c>
      <c r="D87" s="15">
        <v>7</v>
      </c>
      <c r="E87" s="15">
        <v>0</v>
      </c>
      <c r="F87">
        <f t="shared" si="23"/>
        <v>0</v>
      </c>
      <c r="G87" s="15">
        <v>0</v>
      </c>
      <c r="H87" s="13">
        <f t="shared" ca="1" si="24"/>
        <v>0</v>
      </c>
      <c r="I87">
        <f t="shared" ca="1" si="27"/>
        <v>89</v>
      </c>
      <c r="J87">
        <f t="shared" ca="1" si="25"/>
        <v>89</v>
      </c>
      <c r="K87">
        <f t="shared" ca="1" si="28"/>
        <v>0</v>
      </c>
      <c r="L87" t="str">
        <f t="shared" ca="1" si="29"/>
        <v/>
      </c>
      <c r="M87" s="13">
        <f t="shared" ca="1" si="18"/>
        <v>-142</v>
      </c>
      <c r="N87">
        <f t="shared" ca="1" si="26"/>
        <v>55</v>
      </c>
      <c r="AB87">
        <v>59</v>
      </c>
      <c r="AC87">
        <v>533.65816326530614</v>
      </c>
      <c r="AD87">
        <v>66</v>
      </c>
      <c r="AE87">
        <v>1253</v>
      </c>
      <c r="AF87">
        <v>364.25512544500037</v>
      </c>
      <c r="AG87">
        <v>1187</v>
      </c>
      <c r="AH87">
        <v>850</v>
      </c>
      <c r="AI87">
        <v>6</v>
      </c>
      <c r="AT87" s="12" t="e">
        <f t="shared" si="22"/>
        <v>#N/A</v>
      </c>
      <c r="AU87" t="e">
        <f t="shared" si="22"/>
        <v>#N/A</v>
      </c>
      <c r="AV87" t="e">
        <f t="shared" si="22"/>
        <v>#N/A</v>
      </c>
      <c r="AW87" t="e">
        <f t="shared" si="22"/>
        <v>#N/A</v>
      </c>
      <c r="AX87">
        <f t="shared" ca="1" si="22"/>
        <v>89</v>
      </c>
      <c r="AY87" t="e">
        <f t="shared" si="22"/>
        <v>#N/A</v>
      </c>
      <c r="AZ87" s="13" t="e">
        <f t="shared" si="22"/>
        <v>#N/A</v>
      </c>
      <c r="BB87">
        <v>352</v>
      </c>
    </row>
    <row r="88" spans="2:54" x14ac:dyDescent="0.45">
      <c r="B88" s="11">
        <v>6</v>
      </c>
      <c r="C88" s="13">
        <v>71</v>
      </c>
      <c r="D88" s="8">
        <v>1</v>
      </c>
      <c r="E88" s="8">
        <v>1</v>
      </c>
      <c r="F88">
        <f t="shared" si="23"/>
        <v>1</v>
      </c>
      <c r="G88" s="8">
        <v>144</v>
      </c>
      <c r="H88" s="13">
        <f t="shared" ca="1" si="24"/>
        <v>89</v>
      </c>
      <c r="I88">
        <f t="shared" ca="1" si="27"/>
        <v>89</v>
      </c>
      <c r="J88">
        <f t="shared" ca="1" si="25"/>
        <v>144</v>
      </c>
      <c r="K88">
        <f t="shared" ca="1" si="28"/>
        <v>1</v>
      </c>
      <c r="L88" t="str">
        <f t="shared" ca="1" si="29"/>
        <v/>
      </c>
      <c r="M88" s="13" t="str">
        <f t="shared" si="18"/>
        <v/>
      </c>
      <c r="N88">
        <f t="shared" ca="1" si="26"/>
        <v>-2</v>
      </c>
      <c r="AB88">
        <v>60</v>
      </c>
      <c r="AC88">
        <v>543.33163265306121</v>
      </c>
      <c r="AD88">
        <v>57</v>
      </c>
      <c r="AE88">
        <v>1349</v>
      </c>
      <c r="AF88">
        <v>388.8761767402446</v>
      </c>
      <c r="AG88">
        <v>1292</v>
      </c>
      <c r="AH88">
        <v>921</v>
      </c>
      <c r="AI88">
        <v>11</v>
      </c>
      <c r="AT88" s="12" t="e">
        <f t="shared" si="22"/>
        <v>#N/A</v>
      </c>
      <c r="AU88" t="e">
        <f t="shared" si="22"/>
        <v>#N/A</v>
      </c>
      <c r="AV88" t="e">
        <f t="shared" si="22"/>
        <v>#N/A</v>
      </c>
      <c r="AW88" t="e">
        <f t="shared" si="22"/>
        <v>#N/A</v>
      </c>
      <c r="AX88" t="e">
        <f t="shared" si="22"/>
        <v>#N/A</v>
      </c>
      <c r="AY88">
        <f t="shared" ca="1" si="22"/>
        <v>144</v>
      </c>
      <c r="AZ88" s="13" t="e">
        <f t="shared" si="22"/>
        <v>#N/A</v>
      </c>
      <c r="BB88">
        <v>346</v>
      </c>
    </row>
    <row r="89" spans="2:54" x14ac:dyDescent="0.45">
      <c r="B89" s="11">
        <v>6</v>
      </c>
      <c r="C89" s="13">
        <v>72</v>
      </c>
      <c r="D89">
        <v>2</v>
      </c>
      <c r="E89">
        <v>1</v>
      </c>
      <c r="F89">
        <f t="shared" si="23"/>
        <v>1</v>
      </c>
      <c r="G89">
        <v>142</v>
      </c>
      <c r="H89" s="13">
        <f t="shared" ca="1" si="24"/>
        <v>144</v>
      </c>
      <c r="I89">
        <f t="shared" ca="1" si="27"/>
        <v>144</v>
      </c>
      <c r="J89">
        <f t="shared" ca="1" si="25"/>
        <v>142</v>
      </c>
      <c r="K89">
        <f t="shared" ca="1" si="28"/>
        <v>1</v>
      </c>
      <c r="L89" t="str">
        <f t="shared" ca="1" si="29"/>
        <v/>
      </c>
      <c r="M89" s="13" t="str">
        <f t="shared" si="18"/>
        <v/>
      </c>
      <c r="N89">
        <f t="shared" ca="1" si="26"/>
        <v>15</v>
      </c>
      <c r="AB89">
        <v>61</v>
      </c>
      <c r="AC89">
        <v>583.73469387755097</v>
      </c>
      <c r="AD89">
        <v>49</v>
      </c>
      <c r="AE89">
        <v>1504</v>
      </c>
      <c r="AF89">
        <v>469.33636497741406</v>
      </c>
      <c r="AG89">
        <v>1455</v>
      </c>
      <c r="AH89">
        <v>1071</v>
      </c>
      <c r="AI89">
        <v>15</v>
      </c>
      <c r="AT89" s="12" t="e">
        <f t="shared" si="22"/>
        <v>#N/A</v>
      </c>
      <c r="AU89" t="e">
        <f t="shared" si="22"/>
        <v>#N/A</v>
      </c>
      <c r="AV89" t="e">
        <f t="shared" si="22"/>
        <v>#N/A</v>
      </c>
      <c r="AW89" t="e">
        <f t="shared" si="22"/>
        <v>#N/A</v>
      </c>
      <c r="AX89" t="e">
        <f t="shared" si="22"/>
        <v>#N/A</v>
      </c>
      <c r="AY89">
        <f t="shared" ca="1" si="22"/>
        <v>142</v>
      </c>
      <c r="AZ89" s="13" t="e">
        <f t="shared" si="22"/>
        <v>#N/A</v>
      </c>
      <c r="BB89">
        <v>338</v>
      </c>
    </row>
    <row r="90" spans="2:54" x14ac:dyDescent="0.45">
      <c r="B90" s="11">
        <v>6</v>
      </c>
      <c r="C90" s="13">
        <v>73</v>
      </c>
      <c r="D90">
        <v>3</v>
      </c>
      <c r="E90">
        <v>1</v>
      </c>
      <c r="F90">
        <f t="shared" si="23"/>
        <v>1</v>
      </c>
      <c r="G90">
        <v>147</v>
      </c>
      <c r="H90" s="13">
        <f t="shared" ca="1" si="24"/>
        <v>132</v>
      </c>
      <c r="I90">
        <f t="shared" ca="1" si="27"/>
        <v>142</v>
      </c>
      <c r="J90">
        <f t="shared" ca="1" si="25"/>
        <v>157</v>
      </c>
      <c r="K90">
        <f t="shared" ca="1" si="28"/>
        <v>0</v>
      </c>
      <c r="L90">
        <f t="shared" ca="1" si="29"/>
        <v>132</v>
      </c>
      <c r="M90" s="13" t="str">
        <f t="shared" si="18"/>
        <v/>
      </c>
      <c r="N90">
        <f t="shared" ca="1" si="26"/>
        <v>-17</v>
      </c>
      <c r="AB90">
        <v>62</v>
      </c>
      <c r="AC90">
        <v>577.40816326530614</v>
      </c>
      <c r="AD90">
        <v>55</v>
      </c>
      <c r="AE90">
        <v>1547</v>
      </c>
      <c r="AF90">
        <v>469.70381107400306</v>
      </c>
      <c r="AG90">
        <v>1492</v>
      </c>
      <c r="AH90">
        <v>1158</v>
      </c>
      <c r="AI90">
        <v>13</v>
      </c>
      <c r="AT90" s="12" t="e">
        <f t="shared" si="22"/>
        <v>#N/A</v>
      </c>
      <c r="AU90" t="e">
        <f t="shared" si="22"/>
        <v>#N/A</v>
      </c>
      <c r="AV90" t="e">
        <f t="shared" si="22"/>
        <v>#N/A</v>
      </c>
      <c r="AW90" t="e">
        <f t="shared" si="22"/>
        <v>#N/A</v>
      </c>
      <c r="AX90" t="e">
        <f t="shared" si="22"/>
        <v>#N/A</v>
      </c>
      <c r="AY90">
        <f t="shared" ca="1" si="22"/>
        <v>157</v>
      </c>
      <c r="AZ90" s="13" t="e">
        <f t="shared" si="22"/>
        <v>#N/A</v>
      </c>
      <c r="BB90">
        <v>335</v>
      </c>
    </row>
    <row r="91" spans="2:54" x14ac:dyDescent="0.45">
      <c r="B91" s="11">
        <v>6</v>
      </c>
      <c r="C91" s="13">
        <v>74</v>
      </c>
      <c r="D91">
        <v>4</v>
      </c>
      <c r="E91">
        <v>1</v>
      </c>
      <c r="F91">
        <f t="shared" si="23"/>
        <v>1</v>
      </c>
      <c r="G91">
        <v>140</v>
      </c>
      <c r="H91" s="13">
        <f t="shared" ca="1" si="24"/>
        <v>157</v>
      </c>
      <c r="I91">
        <f t="shared" ca="1" si="27"/>
        <v>157</v>
      </c>
      <c r="J91">
        <f t="shared" ca="1" si="25"/>
        <v>140</v>
      </c>
      <c r="K91">
        <f t="shared" ca="1" si="28"/>
        <v>1</v>
      </c>
      <c r="L91" t="str">
        <f t="shared" ca="1" si="29"/>
        <v/>
      </c>
      <c r="M91" s="13" t="str">
        <f t="shared" si="18"/>
        <v/>
      </c>
      <c r="N91">
        <f t="shared" ca="1" si="26"/>
        <v>21</v>
      </c>
      <c r="AB91">
        <v>63</v>
      </c>
      <c r="AC91">
        <v>546.26530612244903</v>
      </c>
      <c r="AD91">
        <v>73</v>
      </c>
      <c r="AE91">
        <v>1351</v>
      </c>
      <c r="AF91">
        <v>395.80806137494989</v>
      </c>
      <c r="AG91">
        <v>1278</v>
      </c>
      <c r="AH91">
        <v>996</v>
      </c>
      <c r="AI91">
        <v>13</v>
      </c>
      <c r="AT91" s="12" t="e">
        <f t="shared" si="22"/>
        <v>#N/A</v>
      </c>
      <c r="AU91" t="e">
        <f t="shared" si="22"/>
        <v>#N/A</v>
      </c>
      <c r="AV91" t="e">
        <f t="shared" si="22"/>
        <v>#N/A</v>
      </c>
      <c r="AW91" t="e">
        <f t="shared" si="22"/>
        <v>#N/A</v>
      </c>
      <c r="AX91" t="e">
        <f t="shared" si="22"/>
        <v>#N/A</v>
      </c>
      <c r="AY91">
        <f t="shared" ca="1" si="22"/>
        <v>140</v>
      </c>
      <c r="AZ91" s="13" t="e">
        <f t="shared" si="22"/>
        <v>#N/A</v>
      </c>
      <c r="BB91">
        <v>325</v>
      </c>
    </row>
    <row r="92" spans="2:54" x14ac:dyDescent="0.45">
      <c r="B92" s="11">
        <v>6</v>
      </c>
      <c r="C92" s="13">
        <v>75</v>
      </c>
      <c r="D92">
        <v>5</v>
      </c>
      <c r="E92">
        <v>1</v>
      </c>
      <c r="F92">
        <f t="shared" si="23"/>
        <v>1</v>
      </c>
      <c r="G92">
        <v>161</v>
      </c>
      <c r="H92" s="13">
        <f t="shared" ca="1" si="24"/>
        <v>140</v>
      </c>
      <c r="I92">
        <f t="shared" ca="1" si="27"/>
        <v>140</v>
      </c>
      <c r="J92">
        <f t="shared" ca="1" si="25"/>
        <v>161</v>
      </c>
      <c r="K92">
        <f t="shared" ca="1" si="28"/>
        <v>1</v>
      </c>
      <c r="L92" t="str">
        <f t="shared" ca="1" si="29"/>
        <v/>
      </c>
      <c r="M92" s="13" t="str">
        <f t="shared" si="18"/>
        <v/>
      </c>
      <c r="N92">
        <f t="shared" ca="1" si="26"/>
        <v>0</v>
      </c>
      <c r="AB92">
        <v>64</v>
      </c>
      <c r="AC92">
        <v>536.2295918367347</v>
      </c>
      <c r="AD92">
        <v>35</v>
      </c>
      <c r="AE92">
        <v>1346</v>
      </c>
      <c r="AF92">
        <v>401.88357962636741</v>
      </c>
      <c r="AG92">
        <v>1311</v>
      </c>
      <c r="AH92">
        <v>937</v>
      </c>
      <c r="AI92">
        <v>10</v>
      </c>
      <c r="AT92" s="12" t="e">
        <f t="shared" si="22"/>
        <v>#N/A</v>
      </c>
      <c r="AU92" t="e">
        <f t="shared" si="22"/>
        <v>#N/A</v>
      </c>
      <c r="AV92" t="e">
        <f t="shared" si="22"/>
        <v>#N/A</v>
      </c>
      <c r="AW92" t="e">
        <f t="shared" si="22"/>
        <v>#N/A</v>
      </c>
      <c r="AX92" t="e">
        <f t="shared" si="22"/>
        <v>#N/A</v>
      </c>
      <c r="AY92">
        <f t="shared" ca="1" si="22"/>
        <v>161</v>
      </c>
      <c r="AZ92" s="13" t="e">
        <f t="shared" si="22"/>
        <v>#N/A</v>
      </c>
      <c r="BB92">
        <v>336</v>
      </c>
    </row>
    <row r="93" spans="2:54" x14ac:dyDescent="0.45">
      <c r="B93" s="11">
        <v>6</v>
      </c>
      <c r="C93" s="13">
        <v>76</v>
      </c>
      <c r="D93">
        <v>6</v>
      </c>
      <c r="E93">
        <v>0</v>
      </c>
      <c r="F93">
        <f t="shared" si="23"/>
        <v>0</v>
      </c>
      <c r="G93">
        <v>0</v>
      </c>
      <c r="H93" s="13">
        <f t="shared" ca="1" si="24"/>
        <v>0</v>
      </c>
      <c r="I93">
        <f t="shared" ca="1" si="27"/>
        <v>161</v>
      </c>
      <c r="J93">
        <f t="shared" ca="1" si="25"/>
        <v>161</v>
      </c>
      <c r="K93">
        <f t="shared" ca="1" si="28"/>
        <v>0</v>
      </c>
      <c r="L93" t="str">
        <f t="shared" ca="1" si="29"/>
        <v/>
      </c>
      <c r="M93" s="13" t="str">
        <f t="shared" si="18"/>
        <v/>
      </c>
      <c r="N93">
        <f t="shared" ca="1" si="26"/>
        <v>0</v>
      </c>
      <c r="AB93">
        <v>65</v>
      </c>
      <c r="AC93">
        <v>599.03571428571433</v>
      </c>
      <c r="AD93">
        <v>58</v>
      </c>
      <c r="AE93">
        <v>1498</v>
      </c>
      <c r="AF93">
        <v>448.06809084179633</v>
      </c>
      <c r="AG93">
        <v>1440</v>
      </c>
      <c r="AH93">
        <v>1125</v>
      </c>
      <c r="AI93">
        <v>11</v>
      </c>
      <c r="AT93" s="12" t="e">
        <f t="shared" si="22"/>
        <v>#N/A</v>
      </c>
      <c r="AU93" t="e">
        <f t="shared" si="22"/>
        <v>#N/A</v>
      </c>
      <c r="AV93" t="e">
        <f t="shared" si="22"/>
        <v>#N/A</v>
      </c>
      <c r="AW93" t="e">
        <f t="shared" si="22"/>
        <v>#N/A</v>
      </c>
      <c r="AX93" t="e">
        <f t="shared" si="22"/>
        <v>#N/A</v>
      </c>
      <c r="AY93">
        <f t="shared" ca="1" si="22"/>
        <v>161</v>
      </c>
      <c r="AZ93" s="13" t="e">
        <f t="shared" si="22"/>
        <v>#N/A</v>
      </c>
      <c r="BB93">
        <v>336</v>
      </c>
    </row>
    <row r="94" spans="2:54" x14ac:dyDescent="0.45">
      <c r="B94" s="11">
        <v>6</v>
      </c>
      <c r="C94" s="13">
        <v>77</v>
      </c>
      <c r="D94" s="15">
        <v>7</v>
      </c>
      <c r="E94" s="15">
        <v>0</v>
      </c>
      <c r="F94">
        <f t="shared" si="23"/>
        <v>0</v>
      </c>
      <c r="G94" s="15">
        <v>0</v>
      </c>
      <c r="H94" s="13">
        <f t="shared" ca="1" si="24"/>
        <v>0</v>
      </c>
      <c r="I94">
        <f t="shared" ca="1" si="27"/>
        <v>161</v>
      </c>
      <c r="J94">
        <f t="shared" ca="1" si="25"/>
        <v>161</v>
      </c>
      <c r="K94">
        <f t="shared" ca="1" si="28"/>
        <v>0</v>
      </c>
      <c r="L94" t="str">
        <f t="shared" ca="1" si="29"/>
        <v/>
      </c>
      <c r="M94" s="13" t="str">
        <f t="shared" si="18"/>
        <v/>
      </c>
      <c r="N94">
        <f t="shared" ca="1" si="26"/>
        <v>-51</v>
      </c>
      <c r="AB94">
        <v>66</v>
      </c>
      <c r="AC94">
        <v>514.96428571428567</v>
      </c>
      <c r="AD94">
        <v>45</v>
      </c>
      <c r="AE94">
        <v>1244</v>
      </c>
      <c r="AF94">
        <v>358.49390702988387</v>
      </c>
      <c r="AG94">
        <v>1199</v>
      </c>
      <c r="AH94">
        <v>882</v>
      </c>
      <c r="AI94">
        <v>6</v>
      </c>
      <c r="AT94" s="12" t="e">
        <f t="shared" si="22"/>
        <v>#N/A</v>
      </c>
      <c r="AU94" t="e">
        <f t="shared" si="22"/>
        <v>#N/A</v>
      </c>
      <c r="AV94" t="e">
        <f t="shared" si="22"/>
        <v>#N/A</v>
      </c>
      <c r="AW94" t="e">
        <f t="shared" si="22"/>
        <v>#N/A</v>
      </c>
      <c r="AX94" t="e">
        <f t="shared" si="22"/>
        <v>#N/A</v>
      </c>
      <c r="AY94">
        <f t="shared" ca="1" si="22"/>
        <v>161</v>
      </c>
      <c r="AZ94" s="13" t="e">
        <f t="shared" si="22"/>
        <v>#N/A</v>
      </c>
      <c r="BB94">
        <v>336</v>
      </c>
    </row>
    <row r="95" spans="2:54" x14ac:dyDescent="0.45">
      <c r="B95" s="11">
        <v>6</v>
      </c>
      <c r="C95" s="13">
        <v>78</v>
      </c>
      <c r="D95" s="8">
        <v>1</v>
      </c>
      <c r="E95" s="8">
        <v>1</v>
      </c>
      <c r="F95">
        <f t="shared" si="23"/>
        <v>1</v>
      </c>
      <c r="G95" s="8">
        <v>75</v>
      </c>
      <c r="H95" s="13">
        <f t="shared" ca="1" si="24"/>
        <v>126</v>
      </c>
      <c r="I95">
        <f t="shared" ca="1" si="27"/>
        <v>161</v>
      </c>
      <c r="J95">
        <f t="shared" ca="1" si="25"/>
        <v>110</v>
      </c>
      <c r="K95">
        <f t="shared" ca="1" si="28"/>
        <v>0</v>
      </c>
      <c r="L95">
        <f t="shared" ca="1" si="29"/>
        <v>126</v>
      </c>
      <c r="M95" s="13" t="str">
        <f t="shared" si="18"/>
        <v/>
      </c>
      <c r="N95">
        <f t="shared" ca="1" si="26"/>
        <v>83</v>
      </c>
      <c r="AB95">
        <v>67</v>
      </c>
      <c r="AC95">
        <v>567.4591836734694</v>
      </c>
      <c r="AD95">
        <v>38</v>
      </c>
      <c r="AE95">
        <v>1442</v>
      </c>
      <c r="AF95">
        <v>430.19107449937343</v>
      </c>
      <c r="AG95">
        <v>1404</v>
      </c>
      <c r="AH95">
        <v>1015</v>
      </c>
      <c r="AI95">
        <v>16</v>
      </c>
      <c r="AT95" s="12" t="e">
        <f t="shared" si="22"/>
        <v>#N/A</v>
      </c>
      <c r="AU95" t="e">
        <f t="shared" si="22"/>
        <v>#N/A</v>
      </c>
      <c r="AV95" t="e">
        <f t="shared" si="22"/>
        <v>#N/A</v>
      </c>
      <c r="AW95" t="e">
        <f t="shared" si="22"/>
        <v>#N/A</v>
      </c>
      <c r="AX95" t="e">
        <f t="shared" si="22"/>
        <v>#N/A</v>
      </c>
      <c r="AY95">
        <f t="shared" ca="1" si="22"/>
        <v>110</v>
      </c>
      <c r="AZ95" s="13" t="e">
        <f t="shared" si="22"/>
        <v>#N/A</v>
      </c>
      <c r="BB95">
        <v>261</v>
      </c>
    </row>
    <row r="96" spans="2:54" x14ac:dyDescent="0.45">
      <c r="B96" s="11">
        <v>6</v>
      </c>
      <c r="C96" s="13">
        <v>79</v>
      </c>
      <c r="D96">
        <v>2</v>
      </c>
      <c r="E96">
        <v>1</v>
      </c>
      <c r="F96">
        <f t="shared" si="23"/>
        <v>1</v>
      </c>
      <c r="G96">
        <v>193</v>
      </c>
      <c r="H96" s="13">
        <f t="shared" ca="1" si="24"/>
        <v>110</v>
      </c>
      <c r="I96">
        <f t="shared" ca="1" si="27"/>
        <v>110</v>
      </c>
      <c r="J96">
        <f t="shared" ca="1" si="25"/>
        <v>193</v>
      </c>
      <c r="K96">
        <f t="shared" ca="1" si="28"/>
        <v>1</v>
      </c>
      <c r="L96" t="str">
        <f t="shared" ca="1" si="29"/>
        <v/>
      </c>
      <c r="M96" s="13" t="str">
        <f t="shared" si="18"/>
        <v/>
      </c>
      <c r="N96">
        <f t="shared" ca="1" si="26"/>
        <v>11</v>
      </c>
      <c r="AB96">
        <v>68</v>
      </c>
      <c r="AC96">
        <v>459.09183673469386</v>
      </c>
      <c r="AD96">
        <v>43</v>
      </c>
      <c r="AE96">
        <v>1233</v>
      </c>
      <c r="AF96">
        <v>349.41695129419298</v>
      </c>
      <c r="AG96">
        <v>1190</v>
      </c>
      <c r="AH96">
        <v>842</v>
      </c>
      <c r="AI96">
        <v>15</v>
      </c>
      <c r="AT96" s="12" t="e">
        <f t="shared" si="22"/>
        <v>#N/A</v>
      </c>
      <c r="AU96" t="e">
        <f t="shared" si="22"/>
        <v>#N/A</v>
      </c>
      <c r="AV96" t="e">
        <f t="shared" si="22"/>
        <v>#N/A</v>
      </c>
      <c r="AW96" t="e">
        <f t="shared" si="22"/>
        <v>#N/A</v>
      </c>
      <c r="AX96" t="e">
        <f t="shared" si="22"/>
        <v>#N/A</v>
      </c>
      <c r="AY96">
        <f t="shared" ca="1" si="22"/>
        <v>193</v>
      </c>
      <c r="AZ96" s="13" t="e">
        <f t="shared" si="22"/>
        <v>#N/A</v>
      </c>
      <c r="BB96">
        <v>304</v>
      </c>
    </row>
    <row r="97" spans="2:54" x14ac:dyDescent="0.45">
      <c r="B97" s="11">
        <v>6</v>
      </c>
      <c r="C97" s="13">
        <v>80</v>
      </c>
      <c r="D97">
        <v>3</v>
      </c>
      <c r="E97">
        <v>1</v>
      </c>
      <c r="F97">
        <f t="shared" si="23"/>
        <v>1</v>
      </c>
      <c r="G97">
        <v>160</v>
      </c>
      <c r="H97" s="13">
        <f t="shared" ca="1" si="24"/>
        <v>149</v>
      </c>
      <c r="I97">
        <f t="shared" ca="1" si="27"/>
        <v>193</v>
      </c>
      <c r="J97">
        <f t="shared" ca="1" si="25"/>
        <v>204</v>
      </c>
      <c r="K97">
        <f t="shared" ca="1" si="28"/>
        <v>0</v>
      </c>
      <c r="L97">
        <f t="shared" ca="1" si="29"/>
        <v>149</v>
      </c>
      <c r="M97" s="13" t="str">
        <f t="shared" si="18"/>
        <v/>
      </c>
      <c r="N97">
        <f t="shared" ca="1" si="26"/>
        <v>21</v>
      </c>
      <c r="AB97">
        <v>69</v>
      </c>
      <c r="AC97">
        <v>540.35714285714289</v>
      </c>
      <c r="AD97">
        <v>46</v>
      </c>
      <c r="AE97">
        <v>1251</v>
      </c>
      <c r="AF97">
        <v>376.68165116784041</v>
      </c>
      <c r="AG97">
        <v>1205</v>
      </c>
      <c r="AH97">
        <v>891</v>
      </c>
      <c r="AI97">
        <v>8</v>
      </c>
      <c r="AT97" s="12" t="e">
        <f t="shared" si="22"/>
        <v>#N/A</v>
      </c>
      <c r="AU97" t="e">
        <f t="shared" si="22"/>
        <v>#N/A</v>
      </c>
      <c r="AV97" t="e">
        <f t="shared" si="22"/>
        <v>#N/A</v>
      </c>
      <c r="AW97" t="e">
        <f t="shared" si="22"/>
        <v>#N/A</v>
      </c>
      <c r="AX97" t="e">
        <f t="shared" si="22"/>
        <v>#N/A</v>
      </c>
      <c r="AY97">
        <f t="shared" ca="1" si="22"/>
        <v>204</v>
      </c>
      <c r="AZ97" s="13" t="e">
        <f t="shared" si="22"/>
        <v>#N/A</v>
      </c>
      <c r="BB97">
        <v>314</v>
      </c>
    </row>
    <row r="98" spans="2:54" x14ac:dyDescent="0.45">
      <c r="B98" s="11">
        <v>6</v>
      </c>
      <c r="C98" s="13">
        <v>81</v>
      </c>
      <c r="D98">
        <v>4</v>
      </c>
      <c r="E98">
        <v>1</v>
      </c>
      <c r="F98">
        <f t="shared" si="23"/>
        <v>1</v>
      </c>
      <c r="G98">
        <v>147</v>
      </c>
      <c r="H98" s="13">
        <f t="shared" ca="1" si="24"/>
        <v>126</v>
      </c>
      <c r="I98">
        <f t="shared" ca="1" si="27"/>
        <v>204</v>
      </c>
      <c r="J98">
        <f t="shared" ca="1" si="25"/>
        <v>225</v>
      </c>
      <c r="K98">
        <f t="shared" ca="1" si="28"/>
        <v>0</v>
      </c>
      <c r="L98">
        <f t="shared" ca="1" si="29"/>
        <v>126</v>
      </c>
      <c r="M98" s="13" t="str">
        <f t="shared" si="18"/>
        <v/>
      </c>
      <c r="N98">
        <f t="shared" ca="1" si="26"/>
        <v>-2</v>
      </c>
      <c r="AB98">
        <v>70</v>
      </c>
      <c r="AC98">
        <v>529.91326530612241</v>
      </c>
      <c r="AD98">
        <v>58</v>
      </c>
      <c r="AE98">
        <v>1379</v>
      </c>
      <c r="AF98">
        <v>403.21847730018095</v>
      </c>
      <c r="AG98">
        <v>1321</v>
      </c>
      <c r="AH98">
        <v>1014</v>
      </c>
      <c r="AI98">
        <v>10</v>
      </c>
      <c r="AT98" s="12" t="e">
        <f t="shared" ref="AT98:AZ113" si="30">IF($B98=AT$17,$J98,NA())</f>
        <v>#N/A</v>
      </c>
      <c r="AU98" t="e">
        <f t="shared" si="30"/>
        <v>#N/A</v>
      </c>
      <c r="AV98" t="e">
        <f t="shared" si="30"/>
        <v>#N/A</v>
      </c>
      <c r="AW98" t="e">
        <f t="shared" si="30"/>
        <v>#N/A</v>
      </c>
      <c r="AX98" t="e">
        <f t="shared" si="30"/>
        <v>#N/A</v>
      </c>
      <c r="AY98">
        <f t="shared" ca="1" si="30"/>
        <v>225</v>
      </c>
      <c r="AZ98" s="13" t="e">
        <f t="shared" si="30"/>
        <v>#N/A</v>
      </c>
      <c r="BB98">
        <v>311</v>
      </c>
    </row>
    <row r="99" spans="2:54" x14ac:dyDescent="0.45">
      <c r="B99" s="11">
        <v>6</v>
      </c>
      <c r="C99" s="13">
        <v>82</v>
      </c>
      <c r="D99">
        <v>5</v>
      </c>
      <c r="E99">
        <v>1</v>
      </c>
      <c r="F99">
        <f t="shared" si="23"/>
        <v>1</v>
      </c>
      <c r="G99">
        <v>146</v>
      </c>
      <c r="H99" s="13">
        <f t="shared" ca="1" si="24"/>
        <v>148</v>
      </c>
      <c r="I99">
        <f t="shared" ca="1" si="27"/>
        <v>225</v>
      </c>
      <c r="J99">
        <f t="shared" ca="1" si="25"/>
        <v>223</v>
      </c>
      <c r="K99">
        <f t="shared" ca="1" si="28"/>
        <v>0</v>
      </c>
      <c r="L99">
        <f t="shared" ca="1" si="29"/>
        <v>148</v>
      </c>
      <c r="M99" s="13" t="str">
        <f t="shared" si="18"/>
        <v/>
      </c>
      <c r="N99">
        <f t="shared" ca="1" si="26"/>
        <v>0</v>
      </c>
      <c r="AB99">
        <v>71</v>
      </c>
      <c r="AC99">
        <v>550.59183673469386</v>
      </c>
      <c r="AD99">
        <v>82</v>
      </c>
      <c r="AE99">
        <v>1291</v>
      </c>
      <c r="AF99">
        <v>379.62456848126357</v>
      </c>
      <c r="AG99">
        <v>1209</v>
      </c>
      <c r="AH99">
        <v>892</v>
      </c>
      <c r="AI99">
        <v>10</v>
      </c>
      <c r="AT99" s="12" t="e">
        <f t="shared" si="30"/>
        <v>#N/A</v>
      </c>
      <c r="AU99" t="e">
        <f t="shared" si="30"/>
        <v>#N/A</v>
      </c>
      <c r="AV99" t="e">
        <f t="shared" si="30"/>
        <v>#N/A</v>
      </c>
      <c r="AW99" t="e">
        <f t="shared" si="30"/>
        <v>#N/A</v>
      </c>
      <c r="AX99" t="e">
        <f t="shared" si="30"/>
        <v>#N/A</v>
      </c>
      <c r="AY99">
        <f t="shared" ca="1" si="30"/>
        <v>223</v>
      </c>
      <c r="AZ99" s="13" t="e">
        <f t="shared" si="30"/>
        <v>#N/A</v>
      </c>
      <c r="BB99">
        <v>307</v>
      </c>
    </row>
    <row r="100" spans="2:54" x14ac:dyDescent="0.45">
      <c r="B100" s="11">
        <v>6</v>
      </c>
      <c r="C100" s="13">
        <v>83</v>
      </c>
      <c r="D100">
        <v>6</v>
      </c>
      <c r="E100">
        <v>0</v>
      </c>
      <c r="F100">
        <f t="shared" si="23"/>
        <v>0</v>
      </c>
      <c r="G100">
        <v>0</v>
      </c>
      <c r="H100" s="13">
        <f t="shared" ca="1" si="24"/>
        <v>0</v>
      </c>
      <c r="I100">
        <f t="shared" ca="1" si="27"/>
        <v>223</v>
      </c>
      <c r="J100">
        <f t="shared" ca="1" si="25"/>
        <v>223</v>
      </c>
      <c r="K100">
        <f t="shared" ca="1" si="28"/>
        <v>0</v>
      </c>
      <c r="L100" t="str">
        <f t="shared" ca="1" si="29"/>
        <v/>
      </c>
      <c r="M100" s="13" t="str">
        <f t="shared" si="18"/>
        <v/>
      </c>
      <c r="N100">
        <f t="shared" ca="1" si="26"/>
        <v>0</v>
      </c>
      <c r="AB100">
        <v>72</v>
      </c>
      <c r="AC100">
        <v>584.34183673469386</v>
      </c>
      <c r="AD100">
        <v>49</v>
      </c>
      <c r="AE100">
        <v>1448</v>
      </c>
      <c r="AF100">
        <v>431.460583586106</v>
      </c>
      <c r="AG100">
        <v>1399</v>
      </c>
      <c r="AH100">
        <v>990</v>
      </c>
      <c r="AI100">
        <v>10</v>
      </c>
      <c r="AT100" s="12" t="e">
        <f t="shared" si="30"/>
        <v>#N/A</v>
      </c>
      <c r="AU100" t="e">
        <f t="shared" si="30"/>
        <v>#N/A</v>
      </c>
      <c r="AV100" t="e">
        <f t="shared" si="30"/>
        <v>#N/A</v>
      </c>
      <c r="AW100" t="e">
        <f t="shared" si="30"/>
        <v>#N/A</v>
      </c>
      <c r="AX100" t="e">
        <f t="shared" si="30"/>
        <v>#N/A</v>
      </c>
      <c r="AY100">
        <f t="shared" ca="1" si="30"/>
        <v>223</v>
      </c>
      <c r="AZ100" s="13" t="e">
        <f t="shared" si="30"/>
        <v>#N/A</v>
      </c>
      <c r="BB100">
        <v>307</v>
      </c>
    </row>
    <row r="101" spans="2:54" x14ac:dyDescent="0.45">
      <c r="B101" s="11">
        <v>6</v>
      </c>
      <c r="C101" s="13">
        <v>84</v>
      </c>
      <c r="D101" s="15">
        <v>7</v>
      </c>
      <c r="E101" s="15">
        <v>0</v>
      </c>
      <c r="F101">
        <f t="shared" si="23"/>
        <v>0</v>
      </c>
      <c r="G101" s="15">
        <v>0</v>
      </c>
      <c r="H101" s="13">
        <f t="shared" ca="1" si="24"/>
        <v>0</v>
      </c>
      <c r="I101">
        <f t="shared" ca="1" si="27"/>
        <v>223</v>
      </c>
      <c r="J101">
        <f t="shared" ca="1" si="25"/>
        <v>223</v>
      </c>
      <c r="K101">
        <f t="shared" ca="1" si="28"/>
        <v>0</v>
      </c>
      <c r="L101" t="str">
        <f t="shared" ca="1" si="29"/>
        <v/>
      </c>
      <c r="M101" s="13">
        <f t="shared" ca="1" si="18"/>
        <v>86</v>
      </c>
      <c r="N101">
        <f t="shared" ca="1" si="26"/>
        <v>5</v>
      </c>
      <c r="AB101">
        <v>73</v>
      </c>
      <c r="AC101">
        <v>512.25510204081638</v>
      </c>
      <c r="AD101">
        <v>53</v>
      </c>
      <c r="AE101">
        <v>1178</v>
      </c>
      <c r="AF101">
        <v>343.53872167529488</v>
      </c>
      <c r="AG101">
        <v>1125</v>
      </c>
      <c r="AH101">
        <v>743</v>
      </c>
      <c r="AI101">
        <v>10</v>
      </c>
      <c r="AT101" s="12" t="e">
        <f t="shared" si="30"/>
        <v>#N/A</v>
      </c>
      <c r="AU101" t="e">
        <f t="shared" si="30"/>
        <v>#N/A</v>
      </c>
      <c r="AV101" t="e">
        <f t="shared" si="30"/>
        <v>#N/A</v>
      </c>
      <c r="AW101" t="e">
        <f t="shared" si="30"/>
        <v>#N/A</v>
      </c>
      <c r="AX101" t="e">
        <f t="shared" si="30"/>
        <v>#N/A</v>
      </c>
      <c r="AY101">
        <f t="shared" ca="1" si="30"/>
        <v>223</v>
      </c>
      <c r="AZ101" s="13" t="e">
        <f t="shared" si="30"/>
        <v>#N/A</v>
      </c>
      <c r="BB101">
        <v>307</v>
      </c>
    </row>
    <row r="102" spans="2:54" x14ac:dyDescent="0.45">
      <c r="B102" s="7">
        <v>7</v>
      </c>
      <c r="C102" s="13">
        <v>85</v>
      </c>
      <c r="D102" s="8">
        <v>1</v>
      </c>
      <c r="E102" s="8">
        <v>1</v>
      </c>
      <c r="F102">
        <f t="shared" si="23"/>
        <v>1</v>
      </c>
      <c r="G102" s="8">
        <v>152</v>
      </c>
      <c r="H102" s="13">
        <f t="shared" ca="1" si="24"/>
        <v>147</v>
      </c>
      <c r="I102">
        <f t="shared" ca="1" si="27"/>
        <v>223</v>
      </c>
      <c r="J102">
        <f t="shared" ca="1" si="25"/>
        <v>228</v>
      </c>
      <c r="K102">
        <f t="shared" ca="1" si="28"/>
        <v>0</v>
      </c>
      <c r="L102">
        <f t="shared" ca="1" si="29"/>
        <v>147</v>
      </c>
      <c r="M102" s="13" t="str">
        <f t="shared" si="18"/>
        <v/>
      </c>
      <c r="N102">
        <f t="shared" ca="1" si="26"/>
        <v>5</v>
      </c>
      <c r="AB102">
        <v>74</v>
      </c>
      <c r="AC102">
        <v>553.84183673469386</v>
      </c>
      <c r="AD102">
        <v>30</v>
      </c>
      <c r="AE102">
        <v>1338</v>
      </c>
      <c r="AF102">
        <v>401.46129821437751</v>
      </c>
      <c r="AG102">
        <v>1308</v>
      </c>
      <c r="AH102">
        <v>878</v>
      </c>
      <c r="AI102">
        <v>12</v>
      </c>
      <c r="AT102" s="12" t="e">
        <f t="shared" si="30"/>
        <v>#N/A</v>
      </c>
      <c r="AU102" t="e">
        <f t="shared" si="30"/>
        <v>#N/A</v>
      </c>
      <c r="AV102" t="e">
        <f t="shared" si="30"/>
        <v>#N/A</v>
      </c>
      <c r="AW102" t="e">
        <f t="shared" si="30"/>
        <v>#N/A</v>
      </c>
      <c r="AX102" t="e">
        <f t="shared" si="30"/>
        <v>#N/A</v>
      </c>
      <c r="AY102" t="e">
        <f t="shared" si="30"/>
        <v>#N/A</v>
      </c>
      <c r="AZ102" s="13">
        <f t="shared" ca="1" si="30"/>
        <v>228</v>
      </c>
      <c r="BB102">
        <v>309</v>
      </c>
    </row>
    <row r="103" spans="2:54" x14ac:dyDescent="0.45">
      <c r="B103" s="7">
        <v>7</v>
      </c>
      <c r="C103" s="13">
        <v>86</v>
      </c>
      <c r="D103">
        <v>2</v>
      </c>
      <c r="E103">
        <v>1</v>
      </c>
      <c r="F103">
        <f t="shared" si="23"/>
        <v>1</v>
      </c>
      <c r="G103">
        <v>161</v>
      </c>
      <c r="H103" s="13">
        <f t="shared" ca="1" si="24"/>
        <v>156</v>
      </c>
      <c r="I103">
        <f t="shared" ca="1" si="27"/>
        <v>228</v>
      </c>
      <c r="J103">
        <f t="shared" ca="1" si="25"/>
        <v>233</v>
      </c>
      <c r="K103">
        <f t="shared" ca="1" si="28"/>
        <v>0</v>
      </c>
      <c r="L103">
        <f t="shared" ca="1" si="29"/>
        <v>156</v>
      </c>
      <c r="M103" s="13" t="str">
        <f t="shared" si="18"/>
        <v/>
      </c>
      <c r="N103">
        <f t="shared" ca="1" si="26"/>
        <v>-6</v>
      </c>
      <c r="AB103">
        <v>75</v>
      </c>
      <c r="AC103">
        <v>483.05612244897958</v>
      </c>
      <c r="AD103">
        <v>53</v>
      </c>
      <c r="AE103">
        <v>1111</v>
      </c>
      <c r="AF103">
        <v>324.51565465409652</v>
      </c>
      <c r="AG103">
        <v>1058</v>
      </c>
      <c r="AH103">
        <v>712</v>
      </c>
      <c r="AI103">
        <v>9</v>
      </c>
      <c r="AT103" s="12" t="e">
        <f t="shared" si="30"/>
        <v>#N/A</v>
      </c>
      <c r="AU103" t="e">
        <f t="shared" si="30"/>
        <v>#N/A</v>
      </c>
      <c r="AV103" t="e">
        <f t="shared" si="30"/>
        <v>#N/A</v>
      </c>
      <c r="AW103" t="e">
        <f t="shared" si="30"/>
        <v>#N/A</v>
      </c>
      <c r="AX103" t="e">
        <f t="shared" si="30"/>
        <v>#N/A</v>
      </c>
      <c r="AY103" t="e">
        <f t="shared" si="30"/>
        <v>#N/A</v>
      </c>
      <c r="AZ103" s="13">
        <f t="shared" ca="1" si="30"/>
        <v>233</v>
      </c>
      <c r="BB103">
        <v>320</v>
      </c>
    </row>
    <row r="104" spans="2:54" x14ac:dyDescent="0.45">
      <c r="B104" s="7">
        <v>7</v>
      </c>
      <c r="C104" s="13">
        <v>87</v>
      </c>
      <c r="D104">
        <v>3</v>
      </c>
      <c r="E104">
        <v>1</v>
      </c>
      <c r="F104">
        <f t="shared" si="23"/>
        <v>1</v>
      </c>
      <c r="G104">
        <v>151</v>
      </c>
      <c r="H104" s="13">
        <f t="shared" ca="1" si="24"/>
        <v>157</v>
      </c>
      <c r="I104">
        <f t="shared" ca="1" si="27"/>
        <v>233</v>
      </c>
      <c r="J104">
        <f t="shared" ca="1" si="25"/>
        <v>227</v>
      </c>
      <c r="K104">
        <f t="shared" ca="1" si="28"/>
        <v>0</v>
      </c>
      <c r="L104">
        <f t="shared" ca="1" si="29"/>
        <v>157</v>
      </c>
      <c r="M104" s="13" t="str">
        <f t="shared" si="18"/>
        <v/>
      </c>
      <c r="N104">
        <f t="shared" ca="1" si="26"/>
        <v>1</v>
      </c>
      <c r="AB104">
        <v>76</v>
      </c>
      <c r="AC104">
        <v>492.16326530612247</v>
      </c>
      <c r="AD104">
        <v>49</v>
      </c>
      <c r="AE104">
        <v>1277</v>
      </c>
      <c r="AF104">
        <v>371.64816843291703</v>
      </c>
      <c r="AG104">
        <v>1228</v>
      </c>
      <c r="AH104">
        <v>872</v>
      </c>
      <c r="AI104">
        <v>11</v>
      </c>
      <c r="AT104" s="12" t="e">
        <f t="shared" si="30"/>
        <v>#N/A</v>
      </c>
      <c r="AU104" t="e">
        <f t="shared" si="30"/>
        <v>#N/A</v>
      </c>
      <c r="AV104" t="e">
        <f t="shared" si="30"/>
        <v>#N/A</v>
      </c>
      <c r="AW104" t="e">
        <f t="shared" si="30"/>
        <v>#N/A</v>
      </c>
      <c r="AX104" t="e">
        <f t="shared" si="30"/>
        <v>#N/A</v>
      </c>
      <c r="AY104" t="e">
        <f t="shared" si="30"/>
        <v>#N/A</v>
      </c>
      <c r="AZ104" s="13">
        <f t="shared" ca="1" si="30"/>
        <v>227</v>
      </c>
      <c r="BB104">
        <v>321</v>
      </c>
    </row>
    <row r="105" spans="2:54" x14ac:dyDescent="0.45">
      <c r="B105" s="7">
        <v>7</v>
      </c>
      <c r="C105" s="13">
        <v>88</v>
      </c>
      <c r="D105">
        <v>4</v>
      </c>
      <c r="E105">
        <v>1</v>
      </c>
      <c r="F105">
        <f t="shared" si="23"/>
        <v>1</v>
      </c>
      <c r="G105">
        <v>161</v>
      </c>
      <c r="H105" s="13">
        <f t="shared" ca="1" si="24"/>
        <v>160</v>
      </c>
      <c r="I105">
        <f t="shared" ca="1" si="27"/>
        <v>227</v>
      </c>
      <c r="J105">
        <f t="shared" ca="1" si="25"/>
        <v>228</v>
      </c>
      <c r="K105">
        <f t="shared" ca="1" si="28"/>
        <v>0</v>
      </c>
      <c r="L105">
        <f t="shared" ca="1" si="29"/>
        <v>160</v>
      </c>
      <c r="M105" s="13" t="str">
        <f t="shared" si="18"/>
        <v/>
      </c>
      <c r="N105">
        <f t="shared" ca="1" si="26"/>
        <v>11</v>
      </c>
      <c r="AB105">
        <v>77</v>
      </c>
      <c r="AC105">
        <v>475.07142857142856</v>
      </c>
      <c r="AD105">
        <v>38</v>
      </c>
      <c r="AE105">
        <v>1234</v>
      </c>
      <c r="AF105">
        <v>353.49445771136646</v>
      </c>
      <c r="AG105">
        <v>1196</v>
      </c>
      <c r="AH105">
        <v>877</v>
      </c>
      <c r="AI105">
        <v>9</v>
      </c>
      <c r="AT105" s="12" t="e">
        <f t="shared" si="30"/>
        <v>#N/A</v>
      </c>
      <c r="AU105" t="e">
        <f t="shared" si="30"/>
        <v>#N/A</v>
      </c>
      <c r="AV105" t="e">
        <f t="shared" si="30"/>
        <v>#N/A</v>
      </c>
      <c r="AW105" t="e">
        <f t="shared" si="30"/>
        <v>#N/A</v>
      </c>
      <c r="AX105" t="e">
        <f t="shared" si="30"/>
        <v>#N/A</v>
      </c>
      <c r="AY105" t="e">
        <f t="shared" si="30"/>
        <v>#N/A</v>
      </c>
      <c r="AZ105" s="13">
        <f t="shared" ca="1" si="30"/>
        <v>228</v>
      </c>
      <c r="BB105">
        <v>332</v>
      </c>
    </row>
    <row r="106" spans="2:54" x14ac:dyDescent="0.45">
      <c r="B106" s="7">
        <v>7</v>
      </c>
      <c r="C106" s="13">
        <v>89</v>
      </c>
      <c r="D106">
        <v>5</v>
      </c>
      <c r="E106">
        <v>1</v>
      </c>
      <c r="F106">
        <f t="shared" si="23"/>
        <v>1</v>
      </c>
      <c r="G106">
        <v>169</v>
      </c>
      <c r="H106" s="13">
        <f t="shared" ca="1" si="24"/>
        <v>158</v>
      </c>
      <c r="I106">
        <f t="shared" ca="1" si="27"/>
        <v>228</v>
      </c>
      <c r="J106">
        <f t="shared" ca="1" si="25"/>
        <v>239</v>
      </c>
      <c r="K106">
        <f t="shared" ca="1" si="28"/>
        <v>0</v>
      </c>
      <c r="L106">
        <f t="shared" ca="1" si="29"/>
        <v>158</v>
      </c>
      <c r="M106" s="13" t="str">
        <f t="shared" si="18"/>
        <v/>
      </c>
      <c r="N106">
        <f t="shared" ca="1" si="26"/>
        <v>0</v>
      </c>
      <c r="AB106">
        <v>78</v>
      </c>
      <c r="AC106">
        <v>546.51530612244903</v>
      </c>
      <c r="AD106">
        <v>44</v>
      </c>
      <c r="AE106">
        <v>1308</v>
      </c>
      <c r="AF106">
        <v>394.02875266785787</v>
      </c>
      <c r="AG106">
        <v>1264</v>
      </c>
      <c r="AH106">
        <v>856</v>
      </c>
      <c r="AI106">
        <v>12</v>
      </c>
      <c r="AT106" s="12" t="e">
        <f t="shared" si="30"/>
        <v>#N/A</v>
      </c>
      <c r="AU106" t="e">
        <f t="shared" si="30"/>
        <v>#N/A</v>
      </c>
      <c r="AV106" t="e">
        <f t="shared" si="30"/>
        <v>#N/A</v>
      </c>
      <c r="AW106" t="e">
        <f t="shared" si="30"/>
        <v>#N/A</v>
      </c>
      <c r="AX106" t="e">
        <f t="shared" si="30"/>
        <v>#N/A</v>
      </c>
      <c r="AY106" t="e">
        <f t="shared" si="30"/>
        <v>#N/A</v>
      </c>
      <c r="AZ106" s="13">
        <f t="shared" ca="1" si="30"/>
        <v>239</v>
      </c>
      <c r="BB106">
        <v>351</v>
      </c>
    </row>
    <row r="107" spans="2:54" x14ac:dyDescent="0.45">
      <c r="B107" s="7">
        <v>7</v>
      </c>
      <c r="C107" s="13">
        <v>90</v>
      </c>
      <c r="D107">
        <v>6</v>
      </c>
      <c r="E107">
        <v>0</v>
      </c>
      <c r="F107">
        <f t="shared" si="23"/>
        <v>0</v>
      </c>
      <c r="G107">
        <v>0</v>
      </c>
      <c r="H107" s="13">
        <f t="shared" ca="1" si="24"/>
        <v>0</v>
      </c>
      <c r="I107">
        <f t="shared" ca="1" si="27"/>
        <v>239</v>
      </c>
      <c r="J107">
        <f t="shared" ca="1" si="25"/>
        <v>239</v>
      </c>
      <c r="K107">
        <f t="shared" ca="1" si="28"/>
        <v>0</v>
      </c>
      <c r="L107" t="str">
        <f t="shared" ca="1" si="29"/>
        <v/>
      </c>
      <c r="M107" s="13" t="str">
        <f t="shared" si="18"/>
        <v/>
      </c>
      <c r="N107">
        <f t="shared" ca="1" si="26"/>
        <v>0</v>
      </c>
      <c r="AB107">
        <v>79</v>
      </c>
      <c r="AC107">
        <v>543.27551020408168</v>
      </c>
      <c r="AD107">
        <v>70</v>
      </c>
      <c r="AE107">
        <v>1331</v>
      </c>
      <c r="AF107">
        <v>396.49139220685163</v>
      </c>
      <c r="AG107">
        <v>1261</v>
      </c>
      <c r="AH107">
        <v>1028</v>
      </c>
      <c r="AI107">
        <v>14</v>
      </c>
      <c r="AT107" s="12" t="e">
        <f t="shared" si="30"/>
        <v>#N/A</v>
      </c>
      <c r="AU107" t="e">
        <f t="shared" si="30"/>
        <v>#N/A</v>
      </c>
      <c r="AV107" t="e">
        <f t="shared" si="30"/>
        <v>#N/A</v>
      </c>
      <c r="AW107" t="e">
        <f t="shared" si="30"/>
        <v>#N/A</v>
      </c>
      <c r="AX107" t="e">
        <f t="shared" si="30"/>
        <v>#N/A</v>
      </c>
      <c r="AY107" t="e">
        <f t="shared" si="30"/>
        <v>#N/A</v>
      </c>
      <c r="AZ107" s="13">
        <f t="shared" ca="1" si="30"/>
        <v>239</v>
      </c>
      <c r="BB107">
        <v>351</v>
      </c>
    </row>
    <row r="108" spans="2:54" x14ac:dyDescent="0.45">
      <c r="B108" s="7">
        <v>7</v>
      </c>
      <c r="C108" s="13">
        <v>91</v>
      </c>
      <c r="D108" s="15">
        <v>7</v>
      </c>
      <c r="E108" s="15">
        <v>0</v>
      </c>
      <c r="F108">
        <f t="shared" si="23"/>
        <v>0</v>
      </c>
      <c r="G108" s="15">
        <v>0</v>
      </c>
      <c r="H108" s="13">
        <f t="shared" ca="1" si="24"/>
        <v>0</v>
      </c>
      <c r="I108">
        <f t="shared" ca="1" si="27"/>
        <v>239</v>
      </c>
      <c r="J108">
        <f t="shared" ca="1" si="25"/>
        <v>239</v>
      </c>
      <c r="K108">
        <f t="shared" ca="1" si="28"/>
        <v>0</v>
      </c>
      <c r="L108" t="str">
        <f t="shared" ca="1" si="29"/>
        <v/>
      </c>
      <c r="M108" s="13" t="str">
        <f t="shared" si="18"/>
        <v/>
      </c>
      <c r="N108">
        <f t="shared" ca="1" si="26"/>
        <v>6</v>
      </c>
      <c r="AB108">
        <v>80</v>
      </c>
      <c r="AC108">
        <v>497.32653061224488</v>
      </c>
      <c r="AD108">
        <v>43</v>
      </c>
      <c r="AE108">
        <v>1286</v>
      </c>
      <c r="AF108">
        <v>378.97977371881382</v>
      </c>
      <c r="AG108">
        <v>1243</v>
      </c>
      <c r="AH108">
        <v>852</v>
      </c>
      <c r="AI108">
        <v>15</v>
      </c>
      <c r="AT108" s="12" t="e">
        <f t="shared" si="30"/>
        <v>#N/A</v>
      </c>
      <c r="AU108" t="e">
        <f t="shared" si="30"/>
        <v>#N/A</v>
      </c>
      <c r="AV108" t="e">
        <f t="shared" si="30"/>
        <v>#N/A</v>
      </c>
      <c r="AW108" t="e">
        <f t="shared" si="30"/>
        <v>#N/A</v>
      </c>
      <c r="AX108" t="e">
        <f t="shared" si="30"/>
        <v>#N/A</v>
      </c>
      <c r="AY108" t="e">
        <f t="shared" si="30"/>
        <v>#N/A</v>
      </c>
      <c r="AZ108" s="13">
        <f t="shared" ca="1" si="30"/>
        <v>239</v>
      </c>
      <c r="BB108">
        <v>351</v>
      </c>
    </row>
    <row r="109" spans="2:54" x14ac:dyDescent="0.45">
      <c r="B109" s="7">
        <v>7</v>
      </c>
      <c r="C109" s="13">
        <v>92</v>
      </c>
      <c r="D109" s="8">
        <v>1</v>
      </c>
      <c r="E109" s="8">
        <v>1</v>
      </c>
      <c r="F109">
        <f t="shared" si="23"/>
        <v>1</v>
      </c>
      <c r="G109" s="8">
        <v>140</v>
      </c>
      <c r="H109" s="13">
        <f t="shared" ca="1" si="24"/>
        <v>134</v>
      </c>
      <c r="I109">
        <f t="shared" ca="1" si="27"/>
        <v>239</v>
      </c>
      <c r="J109">
        <f t="shared" ca="1" si="25"/>
        <v>245</v>
      </c>
      <c r="K109">
        <f t="shared" ca="1" si="28"/>
        <v>0</v>
      </c>
      <c r="L109">
        <f t="shared" ca="1" si="29"/>
        <v>134</v>
      </c>
      <c r="M109" s="13" t="str">
        <f t="shared" si="18"/>
        <v/>
      </c>
      <c r="N109">
        <f t="shared" ca="1" si="26"/>
        <v>-80</v>
      </c>
      <c r="AB109">
        <v>81</v>
      </c>
      <c r="AC109">
        <v>545.76530612244903</v>
      </c>
      <c r="AD109">
        <v>82</v>
      </c>
      <c r="AE109">
        <v>1324</v>
      </c>
      <c r="AF109">
        <v>391.15182607426595</v>
      </c>
      <c r="AG109">
        <v>1242</v>
      </c>
      <c r="AH109">
        <v>874</v>
      </c>
      <c r="AI109">
        <v>11</v>
      </c>
      <c r="AT109" s="12" t="e">
        <f t="shared" si="30"/>
        <v>#N/A</v>
      </c>
      <c r="AU109" t="e">
        <f t="shared" si="30"/>
        <v>#N/A</v>
      </c>
      <c r="AV109" t="e">
        <f t="shared" si="30"/>
        <v>#N/A</v>
      </c>
      <c r="AW109" t="e">
        <f t="shared" si="30"/>
        <v>#N/A</v>
      </c>
      <c r="AX109" t="e">
        <f t="shared" si="30"/>
        <v>#N/A</v>
      </c>
      <c r="AY109" t="e">
        <f t="shared" si="30"/>
        <v>#N/A</v>
      </c>
      <c r="AZ109" s="13">
        <f t="shared" ca="1" si="30"/>
        <v>245</v>
      </c>
      <c r="BB109">
        <v>341</v>
      </c>
    </row>
    <row r="110" spans="2:54" x14ac:dyDescent="0.45">
      <c r="B110" s="7">
        <v>7</v>
      </c>
      <c r="C110" s="13">
        <v>93</v>
      </c>
      <c r="D110">
        <v>2</v>
      </c>
      <c r="E110">
        <v>1</v>
      </c>
      <c r="F110">
        <f t="shared" si="23"/>
        <v>1</v>
      </c>
      <c r="G110">
        <v>69</v>
      </c>
      <c r="H110" s="13">
        <f t="shared" ca="1" si="24"/>
        <v>149</v>
      </c>
      <c r="I110">
        <f t="shared" ca="1" si="27"/>
        <v>245</v>
      </c>
      <c r="J110">
        <f t="shared" ca="1" si="25"/>
        <v>165</v>
      </c>
      <c r="K110">
        <f t="shared" ca="1" si="28"/>
        <v>0</v>
      </c>
      <c r="L110">
        <f t="shared" ca="1" si="29"/>
        <v>149</v>
      </c>
      <c r="M110" s="13" t="str">
        <f t="shared" ref="M110:M173" si="31">IF(B111&lt;&gt;B110,J110-I83,"")</f>
        <v/>
      </c>
      <c r="N110">
        <f t="shared" ca="1" si="26"/>
        <v>75</v>
      </c>
      <c r="AB110">
        <v>82</v>
      </c>
      <c r="AC110">
        <v>541.60204081632651</v>
      </c>
      <c r="AD110">
        <v>35</v>
      </c>
      <c r="AE110">
        <v>1332</v>
      </c>
      <c r="AF110">
        <v>400.36303015413699</v>
      </c>
      <c r="AG110">
        <v>1297</v>
      </c>
      <c r="AH110">
        <v>923</v>
      </c>
      <c r="AI110">
        <v>9</v>
      </c>
      <c r="AT110" s="12" t="e">
        <f t="shared" si="30"/>
        <v>#N/A</v>
      </c>
      <c r="AU110" t="e">
        <f t="shared" si="30"/>
        <v>#N/A</v>
      </c>
      <c r="AV110" t="e">
        <f t="shared" si="30"/>
        <v>#N/A</v>
      </c>
      <c r="AW110" t="e">
        <f t="shared" si="30"/>
        <v>#N/A</v>
      </c>
      <c r="AX110" t="e">
        <f t="shared" si="30"/>
        <v>#N/A</v>
      </c>
      <c r="AY110" t="e">
        <f t="shared" si="30"/>
        <v>#N/A</v>
      </c>
      <c r="AZ110" s="13">
        <f t="shared" ca="1" si="30"/>
        <v>165</v>
      </c>
      <c r="BB110">
        <v>260</v>
      </c>
    </row>
    <row r="111" spans="2:54" x14ac:dyDescent="0.45">
      <c r="B111" s="7">
        <v>7</v>
      </c>
      <c r="C111" s="13">
        <v>94</v>
      </c>
      <c r="D111">
        <v>3</v>
      </c>
      <c r="E111">
        <v>1</v>
      </c>
      <c r="F111">
        <f t="shared" si="23"/>
        <v>1</v>
      </c>
      <c r="G111">
        <v>205</v>
      </c>
      <c r="H111" s="13">
        <f t="shared" ca="1" si="24"/>
        <v>130</v>
      </c>
      <c r="I111">
        <f t="shared" ca="1" si="27"/>
        <v>165</v>
      </c>
      <c r="J111">
        <f t="shared" ca="1" si="25"/>
        <v>240</v>
      </c>
      <c r="K111">
        <f t="shared" ca="1" si="28"/>
        <v>0</v>
      </c>
      <c r="L111">
        <f t="shared" ca="1" si="29"/>
        <v>130</v>
      </c>
      <c r="M111" s="13" t="str">
        <f t="shared" si="31"/>
        <v/>
      </c>
      <c r="N111">
        <f t="shared" ca="1" si="26"/>
        <v>21</v>
      </c>
      <c r="AB111">
        <v>83</v>
      </c>
      <c r="AC111">
        <v>498.90306122448982</v>
      </c>
      <c r="AD111">
        <v>17</v>
      </c>
      <c r="AE111">
        <v>1256</v>
      </c>
      <c r="AF111">
        <v>372.67026760660133</v>
      </c>
      <c r="AG111">
        <v>1239</v>
      </c>
      <c r="AH111">
        <v>925</v>
      </c>
      <c r="AI111">
        <v>15</v>
      </c>
      <c r="AT111" s="12" t="e">
        <f t="shared" si="30"/>
        <v>#N/A</v>
      </c>
      <c r="AU111" t="e">
        <f t="shared" si="30"/>
        <v>#N/A</v>
      </c>
      <c r="AV111" t="e">
        <f t="shared" si="30"/>
        <v>#N/A</v>
      </c>
      <c r="AW111" t="e">
        <f t="shared" si="30"/>
        <v>#N/A</v>
      </c>
      <c r="AX111" t="e">
        <f t="shared" si="30"/>
        <v>#N/A</v>
      </c>
      <c r="AY111" t="e">
        <f t="shared" si="30"/>
        <v>#N/A</v>
      </c>
      <c r="AZ111" s="13">
        <f t="shared" ca="1" si="30"/>
        <v>240</v>
      </c>
      <c r="BB111">
        <v>315</v>
      </c>
    </row>
    <row r="112" spans="2:54" x14ac:dyDescent="0.45">
      <c r="B112" s="7">
        <v>7</v>
      </c>
      <c r="C112" s="13">
        <v>95</v>
      </c>
      <c r="D112">
        <v>4</v>
      </c>
      <c r="E112">
        <v>1</v>
      </c>
      <c r="F112">
        <f t="shared" si="23"/>
        <v>1</v>
      </c>
      <c r="G112">
        <v>152</v>
      </c>
      <c r="H112" s="13">
        <f t="shared" ca="1" si="24"/>
        <v>131</v>
      </c>
      <c r="I112">
        <f t="shared" ca="1" si="27"/>
        <v>240</v>
      </c>
      <c r="J112">
        <f t="shared" ca="1" si="25"/>
        <v>261</v>
      </c>
      <c r="K112">
        <f t="shared" ca="1" si="28"/>
        <v>0</v>
      </c>
      <c r="L112">
        <f t="shared" ca="1" si="29"/>
        <v>131</v>
      </c>
      <c r="M112" s="13" t="str">
        <f t="shared" si="31"/>
        <v/>
      </c>
      <c r="N112">
        <f t="shared" ca="1" si="26"/>
        <v>-4</v>
      </c>
      <c r="AB112">
        <v>84</v>
      </c>
      <c r="AC112">
        <v>502.36734693877548</v>
      </c>
      <c r="AD112">
        <v>25</v>
      </c>
      <c r="AE112">
        <v>1219</v>
      </c>
      <c r="AF112">
        <v>366.92263789398947</v>
      </c>
      <c r="AG112">
        <v>1194</v>
      </c>
      <c r="AH112">
        <v>835</v>
      </c>
      <c r="AI112">
        <v>14</v>
      </c>
      <c r="AT112" s="12" t="e">
        <f t="shared" si="30"/>
        <v>#N/A</v>
      </c>
      <c r="AU112" t="e">
        <f t="shared" si="30"/>
        <v>#N/A</v>
      </c>
      <c r="AV112" t="e">
        <f t="shared" si="30"/>
        <v>#N/A</v>
      </c>
      <c r="AW112" t="e">
        <f t="shared" si="30"/>
        <v>#N/A</v>
      </c>
      <c r="AX112" t="e">
        <f t="shared" si="30"/>
        <v>#N/A</v>
      </c>
      <c r="AY112" t="e">
        <f t="shared" si="30"/>
        <v>#N/A</v>
      </c>
      <c r="AZ112" s="13">
        <f t="shared" ca="1" si="30"/>
        <v>261</v>
      </c>
      <c r="BB112">
        <v>317</v>
      </c>
    </row>
    <row r="113" spans="2:54" x14ac:dyDescent="0.45">
      <c r="B113" s="7">
        <v>7</v>
      </c>
      <c r="C113" s="13">
        <v>96</v>
      </c>
      <c r="D113">
        <v>5</v>
      </c>
      <c r="E113">
        <v>1</v>
      </c>
      <c r="F113">
        <f t="shared" si="23"/>
        <v>1</v>
      </c>
      <c r="G113">
        <v>145</v>
      </c>
      <c r="H113" s="13">
        <f t="shared" ca="1" si="24"/>
        <v>149</v>
      </c>
      <c r="I113">
        <f t="shared" ca="1" si="27"/>
        <v>261</v>
      </c>
      <c r="J113">
        <f t="shared" ca="1" si="25"/>
        <v>257</v>
      </c>
      <c r="K113">
        <f t="shared" ca="1" si="28"/>
        <v>0</v>
      </c>
      <c r="L113">
        <f t="shared" ca="1" si="29"/>
        <v>149</v>
      </c>
      <c r="M113" s="13" t="str">
        <f t="shared" si="31"/>
        <v/>
      </c>
      <c r="N113">
        <f t="shared" ca="1" si="26"/>
        <v>0</v>
      </c>
      <c r="AB113">
        <v>85</v>
      </c>
      <c r="AC113">
        <v>520.59183673469386</v>
      </c>
      <c r="AD113">
        <v>49</v>
      </c>
      <c r="AE113">
        <v>1277</v>
      </c>
      <c r="AF113">
        <v>376.72709325253464</v>
      </c>
      <c r="AG113">
        <v>1228</v>
      </c>
      <c r="AH113">
        <v>834</v>
      </c>
      <c r="AI113">
        <v>16</v>
      </c>
      <c r="AT113" s="12" t="e">
        <f t="shared" si="30"/>
        <v>#N/A</v>
      </c>
      <c r="AU113" t="e">
        <f t="shared" si="30"/>
        <v>#N/A</v>
      </c>
      <c r="AV113" t="e">
        <f t="shared" si="30"/>
        <v>#N/A</v>
      </c>
      <c r="AW113" t="e">
        <f t="shared" si="30"/>
        <v>#N/A</v>
      </c>
      <c r="AX113" t="e">
        <f t="shared" si="30"/>
        <v>#N/A</v>
      </c>
      <c r="AY113" t="e">
        <f t="shared" si="30"/>
        <v>#N/A</v>
      </c>
      <c r="AZ113" s="13">
        <f t="shared" ca="1" si="30"/>
        <v>257</v>
      </c>
      <c r="BB113">
        <v>312</v>
      </c>
    </row>
    <row r="114" spans="2:54" x14ac:dyDescent="0.45">
      <c r="B114" s="7">
        <v>7</v>
      </c>
      <c r="C114" s="13">
        <v>97</v>
      </c>
      <c r="D114">
        <v>6</v>
      </c>
      <c r="E114">
        <v>0</v>
      </c>
      <c r="F114">
        <f t="shared" si="23"/>
        <v>0</v>
      </c>
      <c r="G114">
        <v>0</v>
      </c>
      <c r="H114" s="13">
        <f t="shared" ca="1" si="24"/>
        <v>0</v>
      </c>
      <c r="I114">
        <f t="shared" ca="1" si="27"/>
        <v>257</v>
      </c>
      <c r="J114">
        <f t="shared" ca="1" si="25"/>
        <v>257</v>
      </c>
      <c r="K114">
        <f t="shared" ca="1" si="28"/>
        <v>0</v>
      </c>
      <c r="L114" t="str">
        <f t="shared" ca="1" si="29"/>
        <v/>
      </c>
      <c r="M114" s="13" t="str">
        <f t="shared" si="31"/>
        <v/>
      </c>
      <c r="N114">
        <f t="shared" ca="1" si="26"/>
        <v>0</v>
      </c>
      <c r="AB114">
        <v>86</v>
      </c>
      <c r="AC114">
        <v>567.29591836734699</v>
      </c>
      <c r="AD114">
        <v>49</v>
      </c>
      <c r="AE114">
        <v>1434</v>
      </c>
      <c r="AF114">
        <v>423.70116560902017</v>
      </c>
      <c r="AG114">
        <v>1385</v>
      </c>
      <c r="AH114">
        <v>1055</v>
      </c>
      <c r="AI114">
        <v>11</v>
      </c>
      <c r="AT114" s="12" t="e">
        <f t="shared" ref="AT114:AZ129" si="32">IF($B114=AT$17,$J114,NA())</f>
        <v>#N/A</v>
      </c>
      <c r="AU114" t="e">
        <f t="shared" si="32"/>
        <v>#N/A</v>
      </c>
      <c r="AV114" t="e">
        <f t="shared" si="32"/>
        <v>#N/A</v>
      </c>
      <c r="AW114" t="e">
        <f t="shared" si="32"/>
        <v>#N/A</v>
      </c>
      <c r="AX114" t="e">
        <f t="shared" si="32"/>
        <v>#N/A</v>
      </c>
      <c r="AY114" t="e">
        <f t="shared" si="32"/>
        <v>#N/A</v>
      </c>
      <c r="AZ114" s="13">
        <f t="shared" ca="1" si="32"/>
        <v>257</v>
      </c>
      <c r="BB114">
        <v>312</v>
      </c>
    </row>
    <row r="115" spans="2:54" x14ac:dyDescent="0.45">
      <c r="B115" s="7">
        <v>7</v>
      </c>
      <c r="C115" s="13">
        <v>98</v>
      </c>
      <c r="D115" s="15">
        <v>7</v>
      </c>
      <c r="E115" s="15">
        <v>0</v>
      </c>
      <c r="F115">
        <f t="shared" si="23"/>
        <v>0</v>
      </c>
      <c r="G115" s="15">
        <v>0</v>
      </c>
      <c r="H115" s="13">
        <f t="shared" ref="H115:H146" ca="1" si="33">IF(F115=1,MIN(I115,RANDBETWEEN(lower,upper)),0)</f>
        <v>0</v>
      </c>
      <c r="I115">
        <f t="shared" ca="1" si="27"/>
        <v>257</v>
      </c>
      <c r="J115">
        <f t="shared" ca="1" si="25"/>
        <v>257</v>
      </c>
      <c r="K115">
        <f t="shared" ca="1" si="28"/>
        <v>0</v>
      </c>
      <c r="L115" t="str">
        <f t="shared" ca="1" si="29"/>
        <v/>
      </c>
      <c r="M115" s="13">
        <f t="shared" ca="1" si="31"/>
        <v>168</v>
      </c>
      <c r="N115">
        <f t="shared" ca="1" si="26"/>
        <v>45</v>
      </c>
      <c r="AB115">
        <v>87</v>
      </c>
      <c r="AC115">
        <v>519.76530612244903</v>
      </c>
      <c r="AD115">
        <v>49</v>
      </c>
      <c r="AE115">
        <v>1311</v>
      </c>
      <c r="AF115">
        <v>386.75124634761926</v>
      </c>
      <c r="AG115">
        <v>1262</v>
      </c>
      <c r="AH115">
        <v>909</v>
      </c>
      <c r="AI115">
        <v>14</v>
      </c>
      <c r="AT115" s="12" t="e">
        <f t="shared" si="32"/>
        <v>#N/A</v>
      </c>
      <c r="AU115" t="e">
        <f t="shared" si="32"/>
        <v>#N/A</v>
      </c>
      <c r="AV115" t="e">
        <f t="shared" si="32"/>
        <v>#N/A</v>
      </c>
      <c r="AW115" t="e">
        <f t="shared" si="32"/>
        <v>#N/A</v>
      </c>
      <c r="AX115" t="e">
        <f t="shared" si="32"/>
        <v>#N/A</v>
      </c>
      <c r="AY115" t="e">
        <f t="shared" si="32"/>
        <v>#N/A</v>
      </c>
      <c r="AZ115" s="13">
        <f t="shared" ca="1" si="32"/>
        <v>257</v>
      </c>
      <c r="BB115">
        <v>312</v>
      </c>
    </row>
    <row r="116" spans="2:54" x14ac:dyDescent="0.45">
      <c r="B116" s="11">
        <v>8</v>
      </c>
      <c r="C116" s="13">
        <v>99</v>
      </c>
      <c r="D116" s="8">
        <v>1</v>
      </c>
      <c r="E116" s="8">
        <v>1</v>
      </c>
      <c r="F116">
        <f t="shared" si="23"/>
        <v>1</v>
      </c>
      <c r="G116" s="8">
        <v>171</v>
      </c>
      <c r="H116" s="13">
        <f t="shared" ca="1" si="33"/>
        <v>126</v>
      </c>
      <c r="I116">
        <f t="shared" ca="1" si="27"/>
        <v>257</v>
      </c>
      <c r="J116">
        <f t="shared" ca="1" si="25"/>
        <v>302</v>
      </c>
      <c r="K116">
        <f t="shared" ca="1" si="28"/>
        <v>0</v>
      </c>
      <c r="L116">
        <f t="shared" ca="1" si="29"/>
        <v>126</v>
      </c>
      <c r="M116" s="13" t="str">
        <f t="shared" si="31"/>
        <v/>
      </c>
      <c r="N116">
        <f t="shared" ca="1" si="26"/>
        <v>14</v>
      </c>
      <c r="AB116">
        <v>88</v>
      </c>
      <c r="AC116">
        <v>588.87755102040819</v>
      </c>
      <c r="AD116">
        <v>49</v>
      </c>
      <c r="AE116">
        <v>1462</v>
      </c>
      <c r="AF116">
        <v>441.20744034344057</v>
      </c>
      <c r="AG116">
        <v>1413</v>
      </c>
      <c r="AH116">
        <v>985</v>
      </c>
      <c r="AI116">
        <v>13</v>
      </c>
      <c r="AT116" s="12" t="e">
        <f t="shared" si="32"/>
        <v>#N/A</v>
      </c>
      <c r="AU116" t="e">
        <f t="shared" si="32"/>
        <v>#N/A</v>
      </c>
      <c r="AV116" t="e">
        <f t="shared" si="32"/>
        <v>#N/A</v>
      </c>
      <c r="AW116" t="e">
        <f t="shared" si="32"/>
        <v>#N/A</v>
      </c>
      <c r="AX116" t="e">
        <f t="shared" si="32"/>
        <v>#N/A</v>
      </c>
      <c r="AY116" t="e">
        <f t="shared" si="32"/>
        <v>#N/A</v>
      </c>
      <c r="AZ116" s="13" t="e">
        <f t="shared" si="32"/>
        <v>#N/A</v>
      </c>
      <c r="BB116">
        <v>333</v>
      </c>
    </row>
    <row r="117" spans="2:54" x14ac:dyDescent="0.45">
      <c r="B117" s="11">
        <v>8</v>
      </c>
      <c r="C117" s="13">
        <v>100</v>
      </c>
      <c r="D117">
        <v>2</v>
      </c>
      <c r="E117">
        <v>1</v>
      </c>
      <c r="F117">
        <f t="shared" si="23"/>
        <v>1</v>
      </c>
      <c r="G117">
        <v>169</v>
      </c>
      <c r="H117" s="13">
        <f t="shared" ca="1" si="33"/>
        <v>155</v>
      </c>
      <c r="I117">
        <f t="shared" ca="1" si="27"/>
        <v>302</v>
      </c>
      <c r="J117">
        <f t="shared" ca="1" si="25"/>
        <v>316</v>
      </c>
      <c r="K117">
        <f t="shared" ca="1" si="28"/>
        <v>0</v>
      </c>
      <c r="L117">
        <f t="shared" ca="1" si="29"/>
        <v>155</v>
      </c>
      <c r="M117" s="13" t="str">
        <f t="shared" si="31"/>
        <v/>
      </c>
      <c r="N117">
        <f t="shared" ca="1" si="26"/>
        <v>32</v>
      </c>
      <c r="AB117">
        <v>89</v>
      </c>
      <c r="AC117">
        <v>479.19897959183675</v>
      </c>
      <c r="AD117">
        <v>49</v>
      </c>
      <c r="AE117">
        <v>1230</v>
      </c>
      <c r="AF117">
        <v>344.87929890801695</v>
      </c>
      <c r="AG117">
        <v>1181</v>
      </c>
      <c r="AH117">
        <v>851</v>
      </c>
      <c r="AI117">
        <v>12</v>
      </c>
      <c r="AT117" s="12" t="e">
        <f t="shared" si="32"/>
        <v>#N/A</v>
      </c>
      <c r="AU117" t="e">
        <f t="shared" si="32"/>
        <v>#N/A</v>
      </c>
      <c r="AV117" t="e">
        <f t="shared" si="32"/>
        <v>#N/A</v>
      </c>
      <c r="AW117" t="e">
        <f t="shared" si="32"/>
        <v>#N/A</v>
      </c>
      <c r="AX117" t="e">
        <f t="shared" si="32"/>
        <v>#N/A</v>
      </c>
      <c r="AY117" t="e">
        <f t="shared" si="32"/>
        <v>#N/A</v>
      </c>
      <c r="AZ117" s="13" t="e">
        <f t="shared" si="32"/>
        <v>#N/A</v>
      </c>
      <c r="BB117">
        <v>352</v>
      </c>
    </row>
    <row r="118" spans="2:54" x14ac:dyDescent="0.45">
      <c r="B118" s="11">
        <v>8</v>
      </c>
      <c r="C118" s="13">
        <v>101</v>
      </c>
      <c r="D118">
        <v>3</v>
      </c>
      <c r="E118">
        <v>1</v>
      </c>
      <c r="F118">
        <f t="shared" si="23"/>
        <v>1</v>
      </c>
      <c r="G118">
        <v>170</v>
      </c>
      <c r="H118" s="13">
        <f t="shared" ca="1" si="33"/>
        <v>138</v>
      </c>
      <c r="I118">
        <f t="shared" ca="1" si="27"/>
        <v>316</v>
      </c>
      <c r="J118">
        <f t="shared" ca="1" si="25"/>
        <v>348</v>
      </c>
      <c r="K118">
        <f t="shared" ca="1" si="28"/>
        <v>0</v>
      </c>
      <c r="L118">
        <f t="shared" ca="1" si="29"/>
        <v>138</v>
      </c>
      <c r="M118" s="13" t="str">
        <f t="shared" si="31"/>
        <v/>
      </c>
      <c r="N118">
        <f t="shared" ca="1" si="26"/>
        <v>37</v>
      </c>
      <c r="AB118">
        <v>90</v>
      </c>
      <c r="AC118">
        <v>514.97448979591832</v>
      </c>
      <c r="AD118">
        <v>49</v>
      </c>
      <c r="AE118">
        <v>1295</v>
      </c>
      <c r="AF118">
        <v>377.84681914366382</v>
      </c>
      <c r="AG118">
        <v>1246</v>
      </c>
      <c r="AH118">
        <v>873</v>
      </c>
      <c r="AI118">
        <v>19</v>
      </c>
      <c r="AT118" s="12" t="e">
        <f t="shared" si="32"/>
        <v>#N/A</v>
      </c>
      <c r="AU118" t="e">
        <f t="shared" si="32"/>
        <v>#N/A</v>
      </c>
      <c r="AV118" t="e">
        <f t="shared" si="32"/>
        <v>#N/A</v>
      </c>
      <c r="AW118" t="e">
        <f t="shared" si="32"/>
        <v>#N/A</v>
      </c>
      <c r="AX118" t="e">
        <f t="shared" si="32"/>
        <v>#N/A</v>
      </c>
      <c r="AY118" t="e">
        <f t="shared" si="32"/>
        <v>#N/A</v>
      </c>
      <c r="AZ118" s="13" t="e">
        <f t="shared" si="32"/>
        <v>#N/A</v>
      </c>
      <c r="BB118">
        <v>372</v>
      </c>
    </row>
    <row r="119" spans="2:54" x14ac:dyDescent="0.45">
      <c r="B119" s="11">
        <v>8</v>
      </c>
      <c r="C119" s="13">
        <v>102</v>
      </c>
      <c r="D119">
        <v>4</v>
      </c>
      <c r="E119">
        <v>1</v>
      </c>
      <c r="F119">
        <f t="shared" si="23"/>
        <v>1</v>
      </c>
      <c r="G119">
        <v>183</v>
      </c>
      <c r="H119" s="13">
        <f t="shared" ca="1" si="33"/>
        <v>146</v>
      </c>
      <c r="I119">
        <f t="shared" ca="1" si="27"/>
        <v>348</v>
      </c>
      <c r="J119">
        <f t="shared" ca="1" si="25"/>
        <v>385</v>
      </c>
      <c r="K119">
        <f t="shared" ca="1" si="28"/>
        <v>0</v>
      </c>
      <c r="L119">
        <f t="shared" ca="1" si="29"/>
        <v>146</v>
      </c>
      <c r="M119" s="13" t="str">
        <f t="shared" si="31"/>
        <v/>
      </c>
      <c r="N119">
        <f t="shared" ca="1" si="26"/>
        <v>21</v>
      </c>
      <c r="AB119">
        <v>91</v>
      </c>
      <c r="AC119">
        <v>536.34183673469386</v>
      </c>
      <c r="AD119">
        <v>49</v>
      </c>
      <c r="AE119">
        <v>1397</v>
      </c>
      <c r="AF119">
        <v>409.3532859761645</v>
      </c>
      <c r="AG119">
        <v>1348</v>
      </c>
      <c r="AH119">
        <v>1000</v>
      </c>
      <c r="AI119">
        <v>10</v>
      </c>
      <c r="AT119" s="12" t="e">
        <f t="shared" si="32"/>
        <v>#N/A</v>
      </c>
      <c r="AU119" t="e">
        <f t="shared" si="32"/>
        <v>#N/A</v>
      </c>
      <c r="AV119" t="e">
        <f t="shared" si="32"/>
        <v>#N/A</v>
      </c>
      <c r="AW119" t="e">
        <f t="shared" si="32"/>
        <v>#N/A</v>
      </c>
      <c r="AX119" t="e">
        <f t="shared" si="32"/>
        <v>#N/A</v>
      </c>
      <c r="AY119" t="e">
        <f t="shared" si="32"/>
        <v>#N/A</v>
      </c>
      <c r="AZ119" s="13" t="e">
        <f t="shared" si="32"/>
        <v>#N/A</v>
      </c>
      <c r="BB119">
        <v>405</v>
      </c>
    </row>
    <row r="120" spans="2:54" x14ac:dyDescent="0.45">
      <c r="B120" s="11">
        <v>8</v>
      </c>
      <c r="C120" s="13">
        <v>103</v>
      </c>
      <c r="D120">
        <v>5</v>
      </c>
      <c r="E120">
        <v>1</v>
      </c>
      <c r="F120">
        <f t="shared" si="23"/>
        <v>1</v>
      </c>
      <c r="G120">
        <v>180</v>
      </c>
      <c r="H120" s="13">
        <f t="shared" ca="1" si="33"/>
        <v>159</v>
      </c>
      <c r="I120">
        <f t="shared" ca="1" si="27"/>
        <v>385</v>
      </c>
      <c r="J120">
        <f t="shared" ca="1" si="25"/>
        <v>406</v>
      </c>
      <c r="K120">
        <f t="shared" ca="1" si="28"/>
        <v>0</v>
      </c>
      <c r="L120">
        <f t="shared" ca="1" si="29"/>
        <v>159</v>
      </c>
      <c r="M120" s="13" t="str">
        <f t="shared" si="31"/>
        <v/>
      </c>
      <c r="N120">
        <f t="shared" ca="1" si="26"/>
        <v>-136</v>
      </c>
      <c r="AB120">
        <v>92</v>
      </c>
      <c r="AC120">
        <v>490.96428571428572</v>
      </c>
      <c r="AD120">
        <v>59</v>
      </c>
      <c r="AE120">
        <v>1159</v>
      </c>
      <c r="AF120">
        <v>330.74943310609012</v>
      </c>
      <c r="AG120">
        <v>1100</v>
      </c>
      <c r="AH120">
        <v>811</v>
      </c>
      <c r="AI120">
        <v>12</v>
      </c>
      <c r="AT120" s="12" t="e">
        <f t="shared" si="32"/>
        <v>#N/A</v>
      </c>
      <c r="AU120" t="e">
        <f t="shared" si="32"/>
        <v>#N/A</v>
      </c>
      <c r="AV120" t="e">
        <f t="shared" si="32"/>
        <v>#N/A</v>
      </c>
      <c r="AW120" t="e">
        <f t="shared" si="32"/>
        <v>#N/A</v>
      </c>
      <c r="AX120" t="e">
        <f t="shared" si="32"/>
        <v>#N/A</v>
      </c>
      <c r="AY120" t="e">
        <f t="shared" si="32"/>
        <v>#N/A</v>
      </c>
      <c r="AZ120" s="13" t="e">
        <f t="shared" si="32"/>
        <v>#N/A</v>
      </c>
      <c r="BB120">
        <v>435</v>
      </c>
    </row>
    <row r="121" spans="2:54" x14ac:dyDescent="0.45">
      <c r="B121" s="11">
        <v>8</v>
      </c>
      <c r="C121" s="13">
        <v>104</v>
      </c>
      <c r="D121">
        <v>6</v>
      </c>
      <c r="E121">
        <v>0</v>
      </c>
      <c r="F121">
        <f t="shared" si="23"/>
        <v>1</v>
      </c>
      <c r="G121">
        <v>0</v>
      </c>
      <c r="H121" s="13">
        <f t="shared" ca="1" si="33"/>
        <v>136</v>
      </c>
      <c r="I121">
        <f t="shared" ca="1" si="27"/>
        <v>406</v>
      </c>
      <c r="J121">
        <f t="shared" ca="1" si="25"/>
        <v>270</v>
      </c>
      <c r="K121">
        <f t="shared" ca="1" si="28"/>
        <v>0</v>
      </c>
      <c r="L121">
        <f t="shared" ca="1" si="29"/>
        <v>136</v>
      </c>
      <c r="M121" s="13" t="str">
        <f t="shared" si="31"/>
        <v/>
      </c>
      <c r="N121">
        <f t="shared" ca="1" si="26"/>
        <v>0</v>
      </c>
      <c r="AB121">
        <v>93</v>
      </c>
      <c r="AC121">
        <v>458.5204081632653</v>
      </c>
      <c r="AD121">
        <v>37</v>
      </c>
      <c r="AE121">
        <v>1138</v>
      </c>
      <c r="AF121">
        <v>329.38579915586479</v>
      </c>
      <c r="AG121">
        <v>1101</v>
      </c>
      <c r="AH121">
        <v>752</v>
      </c>
      <c r="AI121">
        <v>14</v>
      </c>
      <c r="AT121" s="12" t="e">
        <f t="shared" si="32"/>
        <v>#N/A</v>
      </c>
      <c r="AU121" t="e">
        <f t="shared" si="32"/>
        <v>#N/A</v>
      </c>
      <c r="AV121" t="e">
        <f t="shared" si="32"/>
        <v>#N/A</v>
      </c>
      <c r="AW121" t="e">
        <f t="shared" si="32"/>
        <v>#N/A</v>
      </c>
      <c r="AX121" t="e">
        <f t="shared" si="32"/>
        <v>#N/A</v>
      </c>
      <c r="AY121" t="e">
        <f t="shared" si="32"/>
        <v>#N/A</v>
      </c>
      <c r="AZ121" s="13" t="e">
        <f t="shared" si="32"/>
        <v>#N/A</v>
      </c>
      <c r="BB121">
        <v>435</v>
      </c>
    </row>
    <row r="122" spans="2:54" x14ac:dyDescent="0.45">
      <c r="B122" s="11">
        <v>8</v>
      </c>
      <c r="C122" s="13">
        <v>105</v>
      </c>
      <c r="D122" s="15">
        <v>7</v>
      </c>
      <c r="E122" s="15">
        <v>0</v>
      </c>
      <c r="F122">
        <f t="shared" si="23"/>
        <v>0</v>
      </c>
      <c r="G122" s="15">
        <v>0</v>
      </c>
      <c r="H122" s="13">
        <f t="shared" ca="1" si="33"/>
        <v>0</v>
      </c>
      <c r="I122">
        <f t="shared" ca="1" si="27"/>
        <v>270</v>
      </c>
      <c r="J122">
        <f t="shared" ca="1" si="25"/>
        <v>270</v>
      </c>
      <c r="K122">
        <f t="shared" ca="1" si="28"/>
        <v>0</v>
      </c>
      <c r="L122" t="str">
        <f t="shared" ca="1" si="29"/>
        <v/>
      </c>
      <c r="M122" s="13" t="str">
        <f t="shared" si="31"/>
        <v/>
      </c>
      <c r="N122">
        <f t="shared" ca="1" si="26"/>
        <v>25</v>
      </c>
      <c r="AB122">
        <v>94</v>
      </c>
      <c r="AC122">
        <v>509.26530612244898</v>
      </c>
      <c r="AD122">
        <v>33</v>
      </c>
      <c r="AE122">
        <v>1260</v>
      </c>
      <c r="AF122">
        <v>359.2929153217699</v>
      </c>
      <c r="AG122">
        <v>1227</v>
      </c>
      <c r="AH122">
        <v>835</v>
      </c>
      <c r="AI122">
        <v>12</v>
      </c>
      <c r="AT122" s="12" t="e">
        <f t="shared" si="32"/>
        <v>#N/A</v>
      </c>
      <c r="AU122" t="e">
        <f t="shared" si="32"/>
        <v>#N/A</v>
      </c>
      <c r="AV122" t="e">
        <f t="shared" si="32"/>
        <v>#N/A</v>
      </c>
      <c r="AW122" t="e">
        <f t="shared" si="32"/>
        <v>#N/A</v>
      </c>
      <c r="AX122" t="e">
        <f t="shared" si="32"/>
        <v>#N/A</v>
      </c>
      <c r="AY122" t="e">
        <f t="shared" si="32"/>
        <v>#N/A</v>
      </c>
      <c r="AZ122" s="13" t="e">
        <f t="shared" si="32"/>
        <v>#N/A</v>
      </c>
      <c r="BB122">
        <v>435</v>
      </c>
    </row>
    <row r="123" spans="2:54" x14ac:dyDescent="0.45">
      <c r="B123" s="11">
        <v>8</v>
      </c>
      <c r="C123" s="13">
        <v>106</v>
      </c>
      <c r="D123" s="8">
        <v>1</v>
      </c>
      <c r="E123" s="8">
        <v>1</v>
      </c>
      <c r="F123">
        <f t="shared" si="23"/>
        <v>1</v>
      </c>
      <c r="G123" s="8">
        <v>156</v>
      </c>
      <c r="H123" s="13">
        <f t="shared" ca="1" si="33"/>
        <v>131</v>
      </c>
      <c r="I123">
        <f t="shared" ca="1" si="27"/>
        <v>270</v>
      </c>
      <c r="J123">
        <f t="shared" ca="1" si="25"/>
        <v>295</v>
      </c>
      <c r="K123">
        <f t="shared" ca="1" si="28"/>
        <v>0</v>
      </c>
      <c r="L123">
        <f t="shared" ca="1" si="29"/>
        <v>131</v>
      </c>
      <c r="M123" s="13" t="str">
        <f t="shared" si="31"/>
        <v/>
      </c>
      <c r="N123">
        <f t="shared" ca="1" si="26"/>
        <v>41</v>
      </c>
      <c r="AB123">
        <v>95</v>
      </c>
      <c r="AC123">
        <v>531.15306122448976</v>
      </c>
      <c r="AD123">
        <v>51</v>
      </c>
      <c r="AE123">
        <v>1331</v>
      </c>
      <c r="AF123">
        <v>386.60975029251546</v>
      </c>
      <c r="AG123">
        <v>1280</v>
      </c>
      <c r="AH123">
        <v>972</v>
      </c>
      <c r="AI123">
        <v>7</v>
      </c>
      <c r="AT123" s="12" t="e">
        <f t="shared" si="32"/>
        <v>#N/A</v>
      </c>
      <c r="AU123" t="e">
        <f t="shared" si="32"/>
        <v>#N/A</v>
      </c>
      <c r="AV123" t="e">
        <f t="shared" si="32"/>
        <v>#N/A</v>
      </c>
      <c r="AW123" t="e">
        <f t="shared" si="32"/>
        <v>#N/A</v>
      </c>
      <c r="AX123" t="e">
        <f t="shared" si="32"/>
        <v>#N/A</v>
      </c>
      <c r="AY123" t="e">
        <f t="shared" si="32"/>
        <v>#N/A</v>
      </c>
      <c r="AZ123" s="13" t="e">
        <f t="shared" si="32"/>
        <v>#N/A</v>
      </c>
      <c r="BB123">
        <v>441</v>
      </c>
    </row>
    <row r="124" spans="2:54" x14ac:dyDescent="0.45">
      <c r="B124" s="11">
        <v>8</v>
      </c>
      <c r="C124" s="13">
        <v>107</v>
      </c>
      <c r="D124">
        <v>2</v>
      </c>
      <c r="E124">
        <v>1</v>
      </c>
      <c r="F124">
        <f t="shared" si="23"/>
        <v>1</v>
      </c>
      <c r="G124">
        <v>168</v>
      </c>
      <c r="H124" s="13">
        <f t="shared" ca="1" si="33"/>
        <v>127</v>
      </c>
      <c r="I124">
        <f t="shared" ca="1" si="27"/>
        <v>295</v>
      </c>
      <c r="J124">
        <f t="shared" ca="1" si="25"/>
        <v>336</v>
      </c>
      <c r="K124">
        <f t="shared" ca="1" si="28"/>
        <v>0</v>
      </c>
      <c r="L124">
        <f t="shared" ca="1" si="29"/>
        <v>127</v>
      </c>
      <c r="M124" s="13" t="str">
        <f t="shared" si="31"/>
        <v/>
      </c>
      <c r="N124">
        <f t="shared" ca="1" si="26"/>
        <v>10</v>
      </c>
      <c r="AB124">
        <v>96</v>
      </c>
      <c r="AC124">
        <v>513.30612244897964</v>
      </c>
      <c r="AD124">
        <v>41</v>
      </c>
      <c r="AE124">
        <v>1237</v>
      </c>
      <c r="AF124">
        <v>359.94235389264895</v>
      </c>
      <c r="AG124">
        <v>1196</v>
      </c>
      <c r="AH124">
        <v>861</v>
      </c>
      <c r="AI124">
        <v>9</v>
      </c>
      <c r="AT124" s="12" t="e">
        <f t="shared" si="32"/>
        <v>#N/A</v>
      </c>
      <c r="AU124" t="e">
        <f t="shared" si="32"/>
        <v>#N/A</v>
      </c>
      <c r="AV124" t="e">
        <f t="shared" si="32"/>
        <v>#N/A</v>
      </c>
      <c r="AW124" t="e">
        <f t="shared" si="32"/>
        <v>#N/A</v>
      </c>
      <c r="AX124" t="e">
        <f t="shared" si="32"/>
        <v>#N/A</v>
      </c>
      <c r="AY124" t="e">
        <f t="shared" si="32"/>
        <v>#N/A</v>
      </c>
      <c r="AZ124" s="13" t="e">
        <f t="shared" si="32"/>
        <v>#N/A</v>
      </c>
      <c r="BB124">
        <v>459</v>
      </c>
    </row>
    <row r="125" spans="2:54" x14ac:dyDescent="0.45">
      <c r="B125" s="11">
        <v>8</v>
      </c>
      <c r="C125" s="13">
        <v>108</v>
      </c>
      <c r="D125">
        <v>3</v>
      </c>
      <c r="E125">
        <v>1</v>
      </c>
      <c r="F125">
        <f t="shared" si="23"/>
        <v>1</v>
      </c>
      <c r="G125">
        <v>156</v>
      </c>
      <c r="H125" s="13">
        <f t="shared" ca="1" si="33"/>
        <v>146</v>
      </c>
      <c r="I125">
        <f t="shared" ca="1" si="27"/>
        <v>336</v>
      </c>
      <c r="J125">
        <f t="shared" ca="1" si="25"/>
        <v>346</v>
      </c>
      <c r="K125">
        <f t="shared" ca="1" si="28"/>
        <v>0</v>
      </c>
      <c r="L125">
        <f t="shared" ca="1" si="29"/>
        <v>146</v>
      </c>
      <c r="M125" s="13" t="str">
        <f t="shared" si="31"/>
        <v/>
      </c>
      <c r="N125">
        <f t="shared" ca="1" si="26"/>
        <v>32</v>
      </c>
      <c r="AB125">
        <v>97</v>
      </c>
      <c r="AC125">
        <v>517.80102040816325</v>
      </c>
      <c r="AD125">
        <v>55</v>
      </c>
      <c r="AE125">
        <v>1293</v>
      </c>
      <c r="AF125">
        <v>386.27203879926702</v>
      </c>
      <c r="AG125">
        <v>1238</v>
      </c>
      <c r="AH125">
        <v>952</v>
      </c>
      <c r="AI125">
        <v>10</v>
      </c>
      <c r="AT125" s="12" t="e">
        <f t="shared" si="32"/>
        <v>#N/A</v>
      </c>
      <c r="AU125" t="e">
        <f t="shared" si="32"/>
        <v>#N/A</v>
      </c>
      <c r="AV125" t="e">
        <f t="shared" si="32"/>
        <v>#N/A</v>
      </c>
      <c r="AW125" t="e">
        <f t="shared" si="32"/>
        <v>#N/A</v>
      </c>
      <c r="AX125" t="e">
        <f t="shared" si="32"/>
        <v>#N/A</v>
      </c>
      <c r="AY125" t="e">
        <f t="shared" si="32"/>
        <v>#N/A</v>
      </c>
      <c r="AZ125" s="13" t="e">
        <f t="shared" si="32"/>
        <v>#N/A</v>
      </c>
      <c r="BB125">
        <v>465</v>
      </c>
    </row>
    <row r="126" spans="2:54" x14ac:dyDescent="0.45">
      <c r="B126" s="11">
        <v>8</v>
      </c>
      <c r="C126" s="13">
        <v>109</v>
      </c>
      <c r="D126">
        <v>4</v>
      </c>
      <c r="E126">
        <v>1</v>
      </c>
      <c r="F126">
        <f t="shared" si="23"/>
        <v>1</v>
      </c>
      <c r="G126">
        <v>189</v>
      </c>
      <c r="H126" s="13">
        <f t="shared" ca="1" si="33"/>
        <v>157</v>
      </c>
      <c r="I126">
        <f t="shared" ca="1" si="27"/>
        <v>346</v>
      </c>
      <c r="J126">
        <f t="shared" ca="1" si="25"/>
        <v>378</v>
      </c>
      <c r="K126">
        <f t="shared" ca="1" si="28"/>
        <v>0</v>
      </c>
      <c r="L126">
        <f t="shared" ca="1" si="29"/>
        <v>157</v>
      </c>
      <c r="M126" s="13" t="str">
        <f t="shared" si="31"/>
        <v/>
      </c>
      <c r="N126">
        <f t="shared" ca="1" si="26"/>
        <v>31</v>
      </c>
      <c r="AB126">
        <v>98</v>
      </c>
      <c r="AC126">
        <v>568.03571428571433</v>
      </c>
      <c r="AD126">
        <v>49</v>
      </c>
      <c r="AE126">
        <v>1444</v>
      </c>
      <c r="AF126">
        <v>422.02706140865479</v>
      </c>
      <c r="AG126">
        <v>1395</v>
      </c>
      <c r="AH126">
        <v>1087</v>
      </c>
      <c r="AI126">
        <v>7</v>
      </c>
      <c r="AT126" s="12" t="e">
        <f t="shared" si="32"/>
        <v>#N/A</v>
      </c>
      <c r="AU126" t="e">
        <f t="shared" si="32"/>
        <v>#N/A</v>
      </c>
      <c r="AV126" t="e">
        <f t="shared" si="32"/>
        <v>#N/A</v>
      </c>
      <c r="AW126" t="e">
        <f t="shared" si="32"/>
        <v>#N/A</v>
      </c>
      <c r="AX126" t="e">
        <f t="shared" si="32"/>
        <v>#N/A</v>
      </c>
      <c r="AY126" t="e">
        <f t="shared" si="32"/>
        <v>#N/A</v>
      </c>
      <c r="AZ126" s="13" t="e">
        <f t="shared" si="32"/>
        <v>#N/A</v>
      </c>
      <c r="BB126">
        <v>504</v>
      </c>
    </row>
    <row r="127" spans="2:54" x14ac:dyDescent="0.45">
      <c r="B127" s="11">
        <v>8</v>
      </c>
      <c r="C127" s="13">
        <v>110</v>
      </c>
      <c r="D127">
        <v>5</v>
      </c>
      <c r="E127">
        <v>1</v>
      </c>
      <c r="F127">
        <f t="shared" si="23"/>
        <v>1</v>
      </c>
      <c r="G127">
        <v>161</v>
      </c>
      <c r="H127" s="13">
        <f t="shared" ca="1" si="33"/>
        <v>130</v>
      </c>
      <c r="I127">
        <f t="shared" ca="1" si="27"/>
        <v>378</v>
      </c>
      <c r="J127">
        <f t="shared" ca="1" si="25"/>
        <v>409</v>
      </c>
      <c r="K127">
        <f t="shared" ca="1" si="28"/>
        <v>0</v>
      </c>
      <c r="L127">
        <f t="shared" ca="1" si="29"/>
        <v>130</v>
      </c>
      <c r="M127" s="13" t="str">
        <f t="shared" si="31"/>
        <v/>
      </c>
      <c r="N127">
        <f t="shared" ca="1" si="26"/>
        <v>-124</v>
      </c>
      <c r="AB127">
        <v>99</v>
      </c>
      <c r="AC127">
        <v>517.26020408163265</v>
      </c>
      <c r="AD127">
        <v>46</v>
      </c>
      <c r="AE127">
        <v>1286</v>
      </c>
      <c r="AF127">
        <v>379.89815854418731</v>
      </c>
      <c r="AG127">
        <v>1240</v>
      </c>
      <c r="AH127">
        <v>931</v>
      </c>
      <c r="AI127">
        <v>12</v>
      </c>
      <c r="AT127" s="12" t="e">
        <f t="shared" si="32"/>
        <v>#N/A</v>
      </c>
      <c r="AU127" t="e">
        <f t="shared" si="32"/>
        <v>#N/A</v>
      </c>
      <c r="AV127" t="e">
        <f t="shared" si="32"/>
        <v>#N/A</v>
      </c>
      <c r="AW127" t="e">
        <f t="shared" si="32"/>
        <v>#N/A</v>
      </c>
      <c r="AX127" t="e">
        <f t="shared" si="32"/>
        <v>#N/A</v>
      </c>
      <c r="AY127" t="e">
        <f t="shared" si="32"/>
        <v>#N/A</v>
      </c>
      <c r="AZ127" s="13" t="e">
        <f t="shared" si="32"/>
        <v>#N/A</v>
      </c>
      <c r="BB127">
        <v>515</v>
      </c>
    </row>
    <row r="128" spans="2:54" x14ac:dyDescent="0.45">
      <c r="B128" s="11">
        <v>8</v>
      </c>
      <c r="C128" s="13">
        <v>111</v>
      </c>
      <c r="D128">
        <v>6</v>
      </c>
      <c r="E128">
        <v>0</v>
      </c>
      <c r="F128">
        <f t="shared" si="23"/>
        <v>1</v>
      </c>
      <c r="G128">
        <v>0</v>
      </c>
      <c r="H128" s="13">
        <f t="shared" ca="1" si="33"/>
        <v>124</v>
      </c>
      <c r="I128">
        <f t="shared" ca="1" si="27"/>
        <v>409</v>
      </c>
      <c r="J128">
        <f t="shared" ca="1" si="25"/>
        <v>285</v>
      </c>
      <c r="K128">
        <f t="shared" ca="1" si="28"/>
        <v>0</v>
      </c>
      <c r="L128">
        <f t="shared" ca="1" si="29"/>
        <v>124</v>
      </c>
      <c r="M128" s="13" t="str">
        <f t="shared" si="31"/>
        <v/>
      </c>
      <c r="N128">
        <f t="shared" ca="1" si="26"/>
        <v>0</v>
      </c>
      <c r="AB128">
        <v>100</v>
      </c>
      <c r="AC128">
        <v>528.82142857142856</v>
      </c>
      <c r="AD128">
        <v>72</v>
      </c>
      <c r="AE128">
        <v>1276</v>
      </c>
      <c r="AF128">
        <v>370.11734729043184</v>
      </c>
      <c r="AG128">
        <v>1204</v>
      </c>
      <c r="AH128">
        <v>889</v>
      </c>
      <c r="AI128">
        <v>7</v>
      </c>
      <c r="AT128" s="12" t="e">
        <f t="shared" si="32"/>
        <v>#N/A</v>
      </c>
      <c r="AU128" t="e">
        <f t="shared" si="32"/>
        <v>#N/A</v>
      </c>
      <c r="AV128" t="e">
        <f t="shared" si="32"/>
        <v>#N/A</v>
      </c>
      <c r="AW128" t="e">
        <f t="shared" si="32"/>
        <v>#N/A</v>
      </c>
      <c r="AX128" t="e">
        <f t="shared" si="32"/>
        <v>#N/A</v>
      </c>
      <c r="AY128" t="e">
        <f t="shared" si="32"/>
        <v>#N/A</v>
      </c>
      <c r="AZ128" s="13" t="e">
        <f t="shared" si="32"/>
        <v>#N/A</v>
      </c>
      <c r="BB128">
        <v>515</v>
      </c>
    </row>
    <row r="129" spans="2:54" x14ac:dyDescent="0.45">
      <c r="B129" s="11">
        <v>8</v>
      </c>
      <c r="C129" s="13">
        <v>112</v>
      </c>
      <c r="D129" s="15">
        <v>7</v>
      </c>
      <c r="E129" s="15">
        <v>0</v>
      </c>
      <c r="F129">
        <f t="shared" si="23"/>
        <v>0</v>
      </c>
      <c r="G129" s="15">
        <v>0</v>
      </c>
      <c r="H129" s="13">
        <f t="shared" ca="1" si="33"/>
        <v>0</v>
      </c>
      <c r="I129">
        <f t="shared" ca="1" si="27"/>
        <v>285</v>
      </c>
      <c r="J129">
        <f t="shared" ca="1" si="25"/>
        <v>285</v>
      </c>
      <c r="K129">
        <f t="shared" ca="1" si="28"/>
        <v>0</v>
      </c>
      <c r="L129" t="str">
        <f t="shared" ca="1" si="29"/>
        <v/>
      </c>
      <c r="M129" s="13">
        <f t="shared" ca="1" si="31"/>
        <v>62</v>
      </c>
      <c r="N129">
        <f t="shared" ca="1" si="26"/>
        <v>55</v>
      </c>
      <c r="AT129" s="12" t="e">
        <f t="shared" si="32"/>
        <v>#N/A</v>
      </c>
      <c r="AU129" t="e">
        <f t="shared" si="32"/>
        <v>#N/A</v>
      </c>
      <c r="AV129" t="e">
        <f t="shared" si="32"/>
        <v>#N/A</v>
      </c>
      <c r="AW129" t="e">
        <f t="shared" si="32"/>
        <v>#N/A</v>
      </c>
      <c r="AX129" t="e">
        <f t="shared" si="32"/>
        <v>#N/A</v>
      </c>
      <c r="AY129" t="e">
        <f t="shared" si="32"/>
        <v>#N/A</v>
      </c>
      <c r="AZ129" s="13" t="e">
        <f t="shared" si="32"/>
        <v>#N/A</v>
      </c>
      <c r="BB129">
        <v>515</v>
      </c>
    </row>
    <row r="130" spans="2:54" x14ac:dyDescent="0.45">
      <c r="B130" s="7">
        <v>9</v>
      </c>
      <c r="C130" s="13">
        <v>113</v>
      </c>
      <c r="D130" s="8">
        <v>1</v>
      </c>
      <c r="E130" s="8">
        <v>1</v>
      </c>
      <c r="F130">
        <f t="shared" si="23"/>
        <v>1</v>
      </c>
      <c r="G130" s="8">
        <v>179</v>
      </c>
      <c r="H130" s="13">
        <f t="shared" ca="1" si="33"/>
        <v>124</v>
      </c>
      <c r="I130">
        <f t="shared" ca="1" si="27"/>
        <v>285</v>
      </c>
      <c r="J130">
        <f t="shared" ca="1" si="25"/>
        <v>340</v>
      </c>
      <c r="K130">
        <f t="shared" ca="1" si="28"/>
        <v>0</v>
      </c>
      <c r="L130">
        <f t="shared" ca="1" si="29"/>
        <v>124</v>
      </c>
      <c r="M130" s="13" t="str">
        <f t="shared" si="31"/>
        <v/>
      </c>
      <c r="N130">
        <f t="shared" ca="1" si="26"/>
        <v>41</v>
      </c>
      <c r="AT130" s="12" t="e">
        <f t="shared" ref="AT130:AZ145" si="34">IF($B130=AT$17,$J130,NA())</f>
        <v>#N/A</v>
      </c>
      <c r="AU130" t="e">
        <f t="shared" si="34"/>
        <v>#N/A</v>
      </c>
      <c r="AV130" t="e">
        <f t="shared" si="34"/>
        <v>#N/A</v>
      </c>
      <c r="AW130" t="e">
        <f t="shared" si="34"/>
        <v>#N/A</v>
      </c>
      <c r="AX130" t="e">
        <f t="shared" si="34"/>
        <v>#N/A</v>
      </c>
      <c r="AY130" t="e">
        <f t="shared" si="34"/>
        <v>#N/A</v>
      </c>
      <c r="AZ130" s="13" t="e">
        <f t="shared" si="34"/>
        <v>#N/A</v>
      </c>
      <c r="BB130">
        <v>544</v>
      </c>
    </row>
    <row r="131" spans="2:54" x14ac:dyDescent="0.45">
      <c r="B131" s="7">
        <v>9</v>
      </c>
      <c r="C131" s="13">
        <v>114</v>
      </c>
      <c r="D131">
        <v>2</v>
      </c>
      <c r="E131">
        <v>1</v>
      </c>
      <c r="F131">
        <f t="shared" si="23"/>
        <v>1</v>
      </c>
      <c r="G131">
        <v>165</v>
      </c>
      <c r="H131" s="13">
        <f t="shared" ca="1" si="33"/>
        <v>124</v>
      </c>
      <c r="I131">
        <f t="shared" ca="1" si="27"/>
        <v>340</v>
      </c>
      <c r="J131">
        <f t="shared" ca="1" si="25"/>
        <v>381</v>
      </c>
      <c r="K131">
        <f t="shared" ca="1" si="28"/>
        <v>0</v>
      </c>
      <c r="L131">
        <f t="shared" ca="1" si="29"/>
        <v>124</v>
      </c>
      <c r="M131" s="13" t="str">
        <f t="shared" si="31"/>
        <v/>
      </c>
      <c r="N131">
        <f t="shared" ca="1" si="26"/>
        <v>36</v>
      </c>
      <c r="AT131" s="12" t="e">
        <f t="shared" si="34"/>
        <v>#N/A</v>
      </c>
      <c r="AU131" t="e">
        <f t="shared" si="34"/>
        <v>#N/A</v>
      </c>
      <c r="AV131" t="e">
        <f t="shared" si="34"/>
        <v>#N/A</v>
      </c>
      <c r="AW131" t="e">
        <f t="shared" si="34"/>
        <v>#N/A</v>
      </c>
      <c r="AX131" t="e">
        <f t="shared" si="34"/>
        <v>#N/A</v>
      </c>
      <c r="AY131" t="e">
        <f t="shared" si="34"/>
        <v>#N/A</v>
      </c>
      <c r="AZ131" s="13" t="e">
        <f t="shared" si="34"/>
        <v>#N/A</v>
      </c>
      <c r="BB131">
        <v>559</v>
      </c>
    </row>
    <row r="132" spans="2:54" x14ac:dyDescent="0.45">
      <c r="B132" s="7">
        <v>9</v>
      </c>
      <c r="C132" s="13">
        <v>115</v>
      </c>
      <c r="D132">
        <v>3</v>
      </c>
      <c r="E132">
        <v>1</v>
      </c>
      <c r="F132">
        <f t="shared" si="23"/>
        <v>1</v>
      </c>
      <c r="G132">
        <v>171</v>
      </c>
      <c r="H132" s="13">
        <f t="shared" ca="1" si="33"/>
        <v>135</v>
      </c>
      <c r="I132">
        <f t="shared" ca="1" si="27"/>
        <v>381</v>
      </c>
      <c r="J132">
        <f t="shared" ca="1" si="25"/>
        <v>417</v>
      </c>
      <c r="K132">
        <f t="shared" ca="1" si="28"/>
        <v>0</v>
      </c>
      <c r="L132">
        <f t="shared" ca="1" si="29"/>
        <v>135</v>
      </c>
      <c r="M132" s="13" t="str">
        <f t="shared" si="31"/>
        <v/>
      </c>
      <c r="N132">
        <f t="shared" ca="1" si="26"/>
        <v>4</v>
      </c>
      <c r="AT132" s="12" t="e">
        <f t="shared" si="34"/>
        <v>#N/A</v>
      </c>
      <c r="AU132" t="e">
        <f t="shared" si="34"/>
        <v>#N/A</v>
      </c>
      <c r="AV132" t="e">
        <f t="shared" si="34"/>
        <v>#N/A</v>
      </c>
      <c r="AW132" t="e">
        <f t="shared" si="34"/>
        <v>#N/A</v>
      </c>
      <c r="AX132" t="e">
        <f t="shared" si="34"/>
        <v>#N/A</v>
      </c>
      <c r="AY132" t="e">
        <f t="shared" si="34"/>
        <v>#N/A</v>
      </c>
      <c r="AZ132" s="13" t="e">
        <f t="shared" si="34"/>
        <v>#N/A</v>
      </c>
      <c r="BB132">
        <v>580</v>
      </c>
    </row>
    <row r="133" spans="2:54" x14ac:dyDescent="0.45">
      <c r="B133" s="7">
        <v>9</v>
      </c>
      <c r="C133" s="13">
        <v>116</v>
      </c>
      <c r="D133">
        <v>4</v>
      </c>
      <c r="E133">
        <v>1</v>
      </c>
      <c r="F133">
        <f t="shared" si="23"/>
        <v>1</v>
      </c>
      <c r="G133">
        <v>151</v>
      </c>
      <c r="H133" s="13">
        <f t="shared" ca="1" si="33"/>
        <v>147</v>
      </c>
      <c r="I133">
        <f t="shared" ca="1" si="27"/>
        <v>417</v>
      </c>
      <c r="J133">
        <f t="shared" ca="1" si="25"/>
        <v>421</v>
      </c>
      <c r="K133">
        <f t="shared" ca="1" si="28"/>
        <v>0</v>
      </c>
      <c r="L133">
        <f t="shared" ca="1" si="29"/>
        <v>147</v>
      </c>
      <c r="M133" s="13" t="str">
        <f t="shared" si="31"/>
        <v/>
      </c>
      <c r="N133">
        <f t="shared" ca="1" si="26"/>
        <v>38</v>
      </c>
      <c r="AT133" s="12" t="e">
        <f t="shared" si="34"/>
        <v>#N/A</v>
      </c>
      <c r="AU133" t="e">
        <f t="shared" si="34"/>
        <v>#N/A</v>
      </c>
      <c r="AV133" t="e">
        <f t="shared" si="34"/>
        <v>#N/A</v>
      </c>
      <c r="AW133" t="e">
        <f t="shared" si="34"/>
        <v>#N/A</v>
      </c>
      <c r="AX133" t="e">
        <f t="shared" si="34"/>
        <v>#N/A</v>
      </c>
      <c r="AY133" t="e">
        <f t="shared" si="34"/>
        <v>#N/A</v>
      </c>
      <c r="AZ133" s="13" t="e">
        <f t="shared" si="34"/>
        <v>#N/A</v>
      </c>
      <c r="BB133">
        <v>581</v>
      </c>
    </row>
    <row r="134" spans="2:54" x14ac:dyDescent="0.45">
      <c r="B134" s="7">
        <v>9</v>
      </c>
      <c r="C134" s="13">
        <v>117</v>
      </c>
      <c r="D134">
        <v>5</v>
      </c>
      <c r="E134">
        <v>1</v>
      </c>
      <c r="F134">
        <f t="shared" si="23"/>
        <v>1</v>
      </c>
      <c r="G134">
        <v>171</v>
      </c>
      <c r="H134" s="13">
        <f t="shared" ca="1" si="33"/>
        <v>133</v>
      </c>
      <c r="I134">
        <f t="shared" ca="1" si="27"/>
        <v>421</v>
      </c>
      <c r="J134">
        <f t="shared" ca="1" si="25"/>
        <v>459</v>
      </c>
      <c r="K134">
        <f t="shared" ca="1" si="28"/>
        <v>0</v>
      </c>
      <c r="L134">
        <f t="shared" ca="1" si="29"/>
        <v>133</v>
      </c>
      <c r="M134" s="13" t="str">
        <f t="shared" si="31"/>
        <v/>
      </c>
      <c r="N134">
        <f t="shared" ca="1" si="26"/>
        <v>0</v>
      </c>
      <c r="AT134" s="12" t="e">
        <f t="shared" si="34"/>
        <v>#N/A</v>
      </c>
      <c r="AU134" t="e">
        <f t="shared" si="34"/>
        <v>#N/A</v>
      </c>
      <c r="AV134" t="e">
        <f t="shared" si="34"/>
        <v>#N/A</v>
      </c>
      <c r="AW134" t="e">
        <f t="shared" si="34"/>
        <v>#N/A</v>
      </c>
      <c r="AX134" t="e">
        <f t="shared" si="34"/>
        <v>#N/A</v>
      </c>
      <c r="AY134" t="e">
        <f t="shared" si="34"/>
        <v>#N/A</v>
      </c>
      <c r="AZ134" s="13" t="e">
        <f t="shared" si="34"/>
        <v>#N/A</v>
      </c>
      <c r="BB134">
        <v>602</v>
      </c>
    </row>
    <row r="135" spans="2:54" x14ac:dyDescent="0.45">
      <c r="B135" s="7">
        <v>9</v>
      </c>
      <c r="C135" s="13">
        <v>118</v>
      </c>
      <c r="D135">
        <v>6</v>
      </c>
      <c r="E135">
        <v>0</v>
      </c>
      <c r="F135">
        <f t="shared" si="23"/>
        <v>0</v>
      </c>
      <c r="G135">
        <v>0</v>
      </c>
      <c r="H135" s="13">
        <f t="shared" ca="1" si="33"/>
        <v>0</v>
      </c>
      <c r="I135">
        <f t="shared" ca="1" si="27"/>
        <v>459</v>
      </c>
      <c r="J135">
        <f t="shared" ca="1" si="25"/>
        <v>459</v>
      </c>
      <c r="K135">
        <f t="shared" ca="1" si="28"/>
        <v>0</v>
      </c>
      <c r="L135" t="str">
        <f t="shared" ca="1" si="29"/>
        <v/>
      </c>
      <c r="M135" s="13" t="str">
        <f t="shared" si="31"/>
        <v/>
      </c>
      <c r="N135">
        <f t="shared" ca="1" si="26"/>
        <v>0</v>
      </c>
      <c r="AT135" s="12" t="e">
        <f t="shared" si="34"/>
        <v>#N/A</v>
      </c>
      <c r="AU135" t="e">
        <f t="shared" si="34"/>
        <v>#N/A</v>
      </c>
      <c r="AV135" t="e">
        <f t="shared" si="34"/>
        <v>#N/A</v>
      </c>
      <c r="AW135" t="e">
        <f t="shared" si="34"/>
        <v>#N/A</v>
      </c>
      <c r="AX135" t="e">
        <f t="shared" si="34"/>
        <v>#N/A</v>
      </c>
      <c r="AY135" t="e">
        <f t="shared" si="34"/>
        <v>#N/A</v>
      </c>
      <c r="AZ135" s="13" t="e">
        <f t="shared" si="34"/>
        <v>#N/A</v>
      </c>
      <c r="BB135">
        <v>602</v>
      </c>
    </row>
    <row r="136" spans="2:54" x14ac:dyDescent="0.45">
      <c r="B136" s="7">
        <v>9</v>
      </c>
      <c r="C136" s="13">
        <v>119</v>
      </c>
      <c r="D136" s="15">
        <v>7</v>
      </c>
      <c r="E136" s="15">
        <v>0</v>
      </c>
      <c r="F136">
        <f t="shared" si="23"/>
        <v>0</v>
      </c>
      <c r="G136" s="15">
        <v>0</v>
      </c>
      <c r="H136" s="13">
        <f t="shared" ca="1" si="33"/>
        <v>0</v>
      </c>
      <c r="I136">
        <f t="shared" ca="1" si="27"/>
        <v>459</v>
      </c>
      <c r="J136">
        <f t="shared" ca="1" si="25"/>
        <v>459</v>
      </c>
      <c r="K136">
        <f t="shared" ca="1" si="28"/>
        <v>0</v>
      </c>
      <c r="L136" t="str">
        <f t="shared" ca="1" si="29"/>
        <v/>
      </c>
      <c r="M136" s="13" t="str">
        <f t="shared" si="31"/>
        <v/>
      </c>
      <c r="N136">
        <f t="shared" ca="1" si="26"/>
        <v>30</v>
      </c>
      <c r="AT136" s="12" t="e">
        <f t="shared" si="34"/>
        <v>#N/A</v>
      </c>
      <c r="AU136" t="e">
        <f t="shared" si="34"/>
        <v>#N/A</v>
      </c>
      <c r="AV136" t="e">
        <f t="shared" si="34"/>
        <v>#N/A</v>
      </c>
      <c r="AW136" t="e">
        <f t="shared" si="34"/>
        <v>#N/A</v>
      </c>
      <c r="AX136" t="e">
        <f t="shared" si="34"/>
        <v>#N/A</v>
      </c>
      <c r="AY136" t="e">
        <f t="shared" si="34"/>
        <v>#N/A</v>
      </c>
      <c r="AZ136" s="13" t="e">
        <f t="shared" si="34"/>
        <v>#N/A</v>
      </c>
      <c r="BB136">
        <v>602</v>
      </c>
    </row>
    <row r="137" spans="2:54" x14ac:dyDescent="0.45">
      <c r="B137" s="7">
        <v>9</v>
      </c>
      <c r="C137" s="13">
        <v>120</v>
      </c>
      <c r="D137" s="8">
        <v>1</v>
      </c>
      <c r="E137" s="8">
        <v>1</v>
      </c>
      <c r="F137">
        <f t="shared" si="23"/>
        <v>1</v>
      </c>
      <c r="G137" s="8">
        <v>177</v>
      </c>
      <c r="H137" s="13">
        <f t="shared" ca="1" si="33"/>
        <v>147</v>
      </c>
      <c r="I137">
        <f t="shared" ca="1" si="27"/>
        <v>459</v>
      </c>
      <c r="J137">
        <f t="shared" ca="1" si="25"/>
        <v>489</v>
      </c>
      <c r="K137">
        <f t="shared" ca="1" si="28"/>
        <v>0</v>
      </c>
      <c r="L137">
        <f t="shared" ca="1" si="29"/>
        <v>147</v>
      </c>
      <c r="M137" s="13" t="str">
        <f t="shared" si="31"/>
        <v/>
      </c>
      <c r="N137">
        <f t="shared" ca="1" si="26"/>
        <v>32</v>
      </c>
      <c r="AT137" s="12" t="e">
        <f t="shared" si="34"/>
        <v>#N/A</v>
      </c>
      <c r="AU137" t="e">
        <f t="shared" si="34"/>
        <v>#N/A</v>
      </c>
      <c r="AV137" t="e">
        <f t="shared" si="34"/>
        <v>#N/A</v>
      </c>
      <c r="AW137" t="e">
        <f t="shared" si="34"/>
        <v>#N/A</v>
      </c>
      <c r="AX137" t="e">
        <f t="shared" si="34"/>
        <v>#N/A</v>
      </c>
      <c r="AY137" t="e">
        <f t="shared" si="34"/>
        <v>#N/A</v>
      </c>
      <c r="AZ137" s="13" t="e">
        <f t="shared" si="34"/>
        <v>#N/A</v>
      </c>
      <c r="BB137">
        <v>629</v>
      </c>
    </row>
    <row r="138" spans="2:54" x14ac:dyDescent="0.45">
      <c r="B138" s="7">
        <v>9</v>
      </c>
      <c r="C138" s="13">
        <v>121</v>
      </c>
      <c r="D138">
        <v>2</v>
      </c>
      <c r="E138">
        <v>1</v>
      </c>
      <c r="F138">
        <f t="shared" si="23"/>
        <v>1</v>
      </c>
      <c r="G138">
        <v>152</v>
      </c>
      <c r="H138" s="13">
        <f t="shared" ca="1" si="33"/>
        <v>120</v>
      </c>
      <c r="I138">
        <f t="shared" ca="1" si="27"/>
        <v>489</v>
      </c>
      <c r="J138">
        <f t="shared" ca="1" si="25"/>
        <v>521</v>
      </c>
      <c r="K138">
        <f t="shared" ca="1" si="28"/>
        <v>0</v>
      </c>
      <c r="L138">
        <f t="shared" ca="1" si="29"/>
        <v>120</v>
      </c>
      <c r="M138" s="13" t="str">
        <f t="shared" si="31"/>
        <v/>
      </c>
      <c r="N138">
        <f t="shared" ca="1" si="26"/>
        <v>46</v>
      </c>
      <c r="AT138" s="12" t="e">
        <f t="shared" si="34"/>
        <v>#N/A</v>
      </c>
      <c r="AU138" t="e">
        <f t="shared" si="34"/>
        <v>#N/A</v>
      </c>
      <c r="AV138" t="e">
        <f t="shared" si="34"/>
        <v>#N/A</v>
      </c>
      <c r="AW138" t="e">
        <f t="shared" si="34"/>
        <v>#N/A</v>
      </c>
      <c r="AX138" t="e">
        <f t="shared" si="34"/>
        <v>#N/A</v>
      </c>
      <c r="AY138" t="e">
        <f t="shared" si="34"/>
        <v>#N/A</v>
      </c>
      <c r="AZ138" s="13" t="e">
        <f t="shared" si="34"/>
        <v>#N/A</v>
      </c>
      <c r="BB138">
        <v>631</v>
      </c>
    </row>
    <row r="139" spans="2:54" x14ac:dyDescent="0.45">
      <c r="B139" s="7">
        <v>9</v>
      </c>
      <c r="C139" s="13">
        <v>122</v>
      </c>
      <c r="D139">
        <v>3</v>
      </c>
      <c r="E139">
        <v>1</v>
      </c>
      <c r="F139">
        <f t="shared" si="23"/>
        <v>1</v>
      </c>
      <c r="G139">
        <v>169</v>
      </c>
      <c r="H139" s="13">
        <f t="shared" ca="1" si="33"/>
        <v>123</v>
      </c>
      <c r="I139">
        <f t="shared" ca="1" si="27"/>
        <v>521</v>
      </c>
      <c r="J139">
        <f t="shared" ca="1" si="25"/>
        <v>567</v>
      </c>
      <c r="K139">
        <f t="shared" ca="1" si="28"/>
        <v>0</v>
      </c>
      <c r="L139">
        <f t="shared" ca="1" si="29"/>
        <v>123</v>
      </c>
      <c r="M139" s="13" t="str">
        <f t="shared" si="31"/>
        <v/>
      </c>
      <c r="N139">
        <f t="shared" ca="1" si="26"/>
        <v>15</v>
      </c>
      <c r="AT139" s="12" t="e">
        <f t="shared" si="34"/>
        <v>#N/A</v>
      </c>
      <c r="AU139" t="e">
        <f t="shared" si="34"/>
        <v>#N/A</v>
      </c>
      <c r="AV139" t="e">
        <f t="shared" si="34"/>
        <v>#N/A</v>
      </c>
      <c r="AW139" t="e">
        <f t="shared" si="34"/>
        <v>#N/A</v>
      </c>
      <c r="AX139" t="e">
        <f t="shared" si="34"/>
        <v>#N/A</v>
      </c>
      <c r="AY139" t="e">
        <f t="shared" si="34"/>
        <v>#N/A</v>
      </c>
      <c r="AZ139" s="13" t="e">
        <f t="shared" si="34"/>
        <v>#N/A</v>
      </c>
      <c r="BB139">
        <v>650</v>
      </c>
    </row>
    <row r="140" spans="2:54" x14ac:dyDescent="0.45">
      <c r="B140" s="7">
        <v>9</v>
      </c>
      <c r="C140" s="13">
        <v>123</v>
      </c>
      <c r="D140">
        <v>4</v>
      </c>
      <c r="E140">
        <v>1</v>
      </c>
      <c r="F140">
        <f t="shared" si="23"/>
        <v>1</v>
      </c>
      <c r="G140">
        <v>159</v>
      </c>
      <c r="H140" s="13">
        <f t="shared" ca="1" si="33"/>
        <v>144</v>
      </c>
      <c r="I140">
        <f t="shared" ca="1" si="27"/>
        <v>567</v>
      </c>
      <c r="J140">
        <f t="shared" ca="1" si="25"/>
        <v>582</v>
      </c>
      <c r="K140">
        <f t="shared" ca="1" si="28"/>
        <v>0</v>
      </c>
      <c r="L140">
        <f t="shared" ca="1" si="29"/>
        <v>144</v>
      </c>
      <c r="M140" s="13" t="str">
        <f t="shared" si="31"/>
        <v/>
      </c>
      <c r="N140">
        <f t="shared" ca="1" si="26"/>
        <v>7</v>
      </c>
      <c r="AT140" s="12" t="e">
        <f t="shared" si="34"/>
        <v>#N/A</v>
      </c>
      <c r="AU140" t="e">
        <f t="shared" si="34"/>
        <v>#N/A</v>
      </c>
      <c r="AV140" t="e">
        <f t="shared" si="34"/>
        <v>#N/A</v>
      </c>
      <c r="AW140" t="e">
        <f t="shared" si="34"/>
        <v>#N/A</v>
      </c>
      <c r="AX140" t="e">
        <f t="shared" si="34"/>
        <v>#N/A</v>
      </c>
      <c r="AY140" t="e">
        <f t="shared" si="34"/>
        <v>#N/A</v>
      </c>
      <c r="AZ140" s="13" t="e">
        <f t="shared" si="34"/>
        <v>#N/A</v>
      </c>
      <c r="BB140">
        <v>659</v>
      </c>
    </row>
    <row r="141" spans="2:54" x14ac:dyDescent="0.45">
      <c r="B141" s="7">
        <v>9</v>
      </c>
      <c r="C141" s="13">
        <v>124</v>
      </c>
      <c r="D141">
        <v>5</v>
      </c>
      <c r="E141">
        <v>1</v>
      </c>
      <c r="F141">
        <f t="shared" si="23"/>
        <v>1</v>
      </c>
      <c r="G141">
        <v>155</v>
      </c>
      <c r="H141" s="13">
        <f t="shared" ca="1" si="33"/>
        <v>148</v>
      </c>
      <c r="I141">
        <f t="shared" ca="1" si="27"/>
        <v>582</v>
      </c>
      <c r="J141">
        <f t="shared" ca="1" si="25"/>
        <v>589</v>
      </c>
      <c r="K141">
        <f t="shared" ca="1" si="28"/>
        <v>0</v>
      </c>
      <c r="L141">
        <f t="shared" ca="1" si="29"/>
        <v>148</v>
      </c>
      <c r="M141" s="13" t="str">
        <f t="shared" si="31"/>
        <v/>
      </c>
      <c r="N141">
        <f t="shared" ca="1" si="26"/>
        <v>0</v>
      </c>
      <c r="AT141" s="12" t="e">
        <f t="shared" si="34"/>
        <v>#N/A</v>
      </c>
      <c r="AU141" t="e">
        <f t="shared" si="34"/>
        <v>#N/A</v>
      </c>
      <c r="AV141" t="e">
        <f t="shared" si="34"/>
        <v>#N/A</v>
      </c>
      <c r="AW141" t="e">
        <f t="shared" si="34"/>
        <v>#N/A</v>
      </c>
      <c r="AX141" t="e">
        <f t="shared" si="34"/>
        <v>#N/A</v>
      </c>
      <c r="AY141" t="e">
        <f t="shared" si="34"/>
        <v>#N/A</v>
      </c>
      <c r="AZ141" s="13" t="e">
        <f t="shared" si="34"/>
        <v>#N/A</v>
      </c>
      <c r="BB141">
        <v>664</v>
      </c>
    </row>
    <row r="142" spans="2:54" x14ac:dyDescent="0.45">
      <c r="B142" s="7">
        <v>9</v>
      </c>
      <c r="C142" s="13">
        <v>125</v>
      </c>
      <c r="D142">
        <v>6</v>
      </c>
      <c r="E142">
        <v>0</v>
      </c>
      <c r="F142">
        <f t="shared" si="23"/>
        <v>0</v>
      </c>
      <c r="G142">
        <v>0</v>
      </c>
      <c r="H142" s="13">
        <f t="shared" ca="1" si="33"/>
        <v>0</v>
      </c>
      <c r="I142">
        <f t="shared" ca="1" si="27"/>
        <v>589</v>
      </c>
      <c r="J142">
        <f t="shared" ca="1" si="25"/>
        <v>589</v>
      </c>
      <c r="K142">
        <f t="shared" ca="1" si="28"/>
        <v>0</v>
      </c>
      <c r="L142" t="str">
        <f t="shared" ca="1" si="29"/>
        <v/>
      </c>
      <c r="M142" s="13" t="str">
        <f t="shared" si="31"/>
        <v/>
      </c>
      <c r="N142">
        <f t="shared" ca="1" si="26"/>
        <v>0</v>
      </c>
      <c r="AT142" s="12" t="e">
        <f t="shared" si="34"/>
        <v>#N/A</v>
      </c>
      <c r="AU142" t="e">
        <f t="shared" si="34"/>
        <v>#N/A</v>
      </c>
      <c r="AV142" t="e">
        <f t="shared" si="34"/>
        <v>#N/A</v>
      </c>
      <c r="AW142" t="e">
        <f t="shared" si="34"/>
        <v>#N/A</v>
      </c>
      <c r="AX142" t="e">
        <f t="shared" si="34"/>
        <v>#N/A</v>
      </c>
      <c r="AY142" t="e">
        <f t="shared" si="34"/>
        <v>#N/A</v>
      </c>
      <c r="AZ142" s="13" t="e">
        <f t="shared" si="34"/>
        <v>#N/A</v>
      </c>
      <c r="BB142">
        <v>664</v>
      </c>
    </row>
    <row r="143" spans="2:54" x14ac:dyDescent="0.45">
      <c r="B143" s="7">
        <v>9</v>
      </c>
      <c r="C143" s="13">
        <v>126</v>
      </c>
      <c r="D143" s="15">
        <v>7</v>
      </c>
      <c r="E143" s="15">
        <v>0</v>
      </c>
      <c r="F143">
        <f t="shared" si="23"/>
        <v>0</v>
      </c>
      <c r="G143" s="15">
        <v>0</v>
      </c>
      <c r="H143" s="13">
        <f t="shared" ca="1" si="33"/>
        <v>0</v>
      </c>
      <c r="I143">
        <f t="shared" ca="1" si="27"/>
        <v>589</v>
      </c>
      <c r="J143">
        <f t="shared" ca="1" si="25"/>
        <v>589</v>
      </c>
      <c r="K143">
        <f t="shared" ca="1" si="28"/>
        <v>0</v>
      </c>
      <c r="L143" t="str">
        <f t="shared" ca="1" si="29"/>
        <v/>
      </c>
      <c r="M143" s="13">
        <f t="shared" ca="1" si="31"/>
        <v>332</v>
      </c>
      <c r="N143">
        <f t="shared" ca="1" si="26"/>
        <v>25</v>
      </c>
      <c r="AT143" s="12" t="e">
        <f t="shared" si="34"/>
        <v>#N/A</v>
      </c>
      <c r="AU143" t="e">
        <f t="shared" si="34"/>
        <v>#N/A</v>
      </c>
      <c r="AV143" t="e">
        <f t="shared" si="34"/>
        <v>#N/A</v>
      </c>
      <c r="AW143" t="e">
        <f t="shared" si="34"/>
        <v>#N/A</v>
      </c>
      <c r="AX143" t="e">
        <f t="shared" si="34"/>
        <v>#N/A</v>
      </c>
      <c r="AY143" t="e">
        <f t="shared" si="34"/>
        <v>#N/A</v>
      </c>
      <c r="AZ143" s="13" t="e">
        <f t="shared" si="34"/>
        <v>#N/A</v>
      </c>
      <c r="BB143">
        <v>664</v>
      </c>
    </row>
    <row r="144" spans="2:54" x14ac:dyDescent="0.45">
      <c r="B144" s="11">
        <v>10</v>
      </c>
      <c r="C144" s="13">
        <v>127</v>
      </c>
      <c r="D144" s="8">
        <v>1</v>
      </c>
      <c r="E144" s="8">
        <v>1</v>
      </c>
      <c r="F144">
        <f t="shared" si="23"/>
        <v>1</v>
      </c>
      <c r="G144" s="8">
        <v>178</v>
      </c>
      <c r="H144" s="13">
        <f t="shared" ca="1" si="33"/>
        <v>153</v>
      </c>
      <c r="I144">
        <f t="shared" ca="1" si="27"/>
        <v>589</v>
      </c>
      <c r="J144">
        <f t="shared" ca="1" si="25"/>
        <v>614</v>
      </c>
      <c r="K144">
        <f t="shared" ca="1" si="28"/>
        <v>0</v>
      </c>
      <c r="L144">
        <f t="shared" ca="1" si="29"/>
        <v>153</v>
      </c>
      <c r="M144" s="13" t="str">
        <f t="shared" si="31"/>
        <v/>
      </c>
      <c r="N144">
        <f t="shared" ca="1" si="26"/>
        <v>59</v>
      </c>
      <c r="AT144" s="12" t="e">
        <f t="shared" si="34"/>
        <v>#N/A</v>
      </c>
      <c r="AU144" t="e">
        <f t="shared" si="34"/>
        <v>#N/A</v>
      </c>
      <c r="AV144" t="e">
        <f t="shared" si="34"/>
        <v>#N/A</v>
      </c>
      <c r="AW144" t="e">
        <f t="shared" si="34"/>
        <v>#N/A</v>
      </c>
      <c r="AX144" t="e">
        <f t="shared" si="34"/>
        <v>#N/A</v>
      </c>
      <c r="AY144" t="e">
        <f t="shared" si="34"/>
        <v>#N/A</v>
      </c>
      <c r="AZ144" s="13" t="e">
        <f t="shared" si="34"/>
        <v>#N/A</v>
      </c>
      <c r="BB144">
        <v>692</v>
      </c>
    </row>
    <row r="145" spans="2:54" x14ac:dyDescent="0.45">
      <c r="B145" s="11">
        <v>10</v>
      </c>
      <c r="C145" s="13">
        <v>128</v>
      </c>
      <c r="D145">
        <v>2</v>
      </c>
      <c r="E145">
        <v>1</v>
      </c>
      <c r="F145">
        <f t="shared" si="23"/>
        <v>1</v>
      </c>
      <c r="G145">
        <v>181</v>
      </c>
      <c r="H145" s="13">
        <f t="shared" ca="1" si="33"/>
        <v>122</v>
      </c>
      <c r="I145">
        <f t="shared" ca="1" si="27"/>
        <v>614</v>
      </c>
      <c r="J145">
        <f t="shared" ca="1" si="25"/>
        <v>673</v>
      </c>
      <c r="K145">
        <f t="shared" ca="1" si="28"/>
        <v>0</v>
      </c>
      <c r="L145">
        <f t="shared" ca="1" si="29"/>
        <v>122</v>
      </c>
      <c r="M145" s="13" t="str">
        <f t="shared" si="31"/>
        <v/>
      </c>
      <c r="N145">
        <f t="shared" ca="1" si="26"/>
        <v>66</v>
      </c>
      <c r="AT145" s="12" t="e">
        <f t="shared" si="34"/>
        <v>#N/A</v>
      </c>
      <c r="AU145" t="e">
        <f t="shared" si="34"/>
        <v>#N/A</v>
      </c>
      <c r="AV145" t="e">
        <f t="shared" si="34"/>
        <v>#N/A</v>
      </c>
      <c r="AW145" t="e">
        <f t="shared" si="34"/>
        <v>#N/A</v>
      </c>
      <c r="AX145" t="e">
        <f t="shared" si="34"/>
        <v>#N/A</v>
      </c>
      <c r="AY145" t="e">
        <f t="shared" si="34"/>
        <v>#N/A</v>
      </c>
      <c r="AZ145" s="13" t="e">
        <f t="shared" si="34"/>
        <v>#N/A</v>
      </c>
      <c r="BB145">
        <v>723</v>
      </c>
    </row>
    <row r="146" spans="2:54" x14ac:dyDescent="0.45">
      <c r="B146" s="11">
        <v>10</v>
      </c>
      <c r="C146" s="13">
        <v>129</v>
      </c>
      <c r="D146">
        <v>3</v>
      </c>
      <c r="E146">
        <v>1</v>
      </c>
      <c r="F146">
        <f t="shared" si="23"/>
        <v>1</v>
      </c>
      <c r="G146">
        <v>188</v>
      </c>
      <c r="H146" s="13">
        <f t="shared" ca="1" si="33"/>
        <v>122</v>
      </c>
      <c r="I146">
        <f t="shared" ca="1" si="27"/>
        <v>673</v>
      </c>
      <c r="J146">
        <f t="shared" ca="1" si="25"/>
        <v>739</v>
      </c>
      <c r="K146">
        <f t="shared" ca="1" si="28"/>
        <v>0</v>
      </c>
      <c r="L146">
        <f t="shared" ca="1" si="29"/>
        <v>122</v>
      </c>
      <c r="M146" s="13" t="str">
        <f t="shared" si="31"/>
        <v/>
      </c>
      <c r="N146">
        <f t="shared" ca="1" si="26"/>
        <v>27</v>
      </c>
      <c r="AT146" s="12" t="e">
        <f t="shared" ref="AT146:AZ161" si="35">IF($B146=AT$17,$J146,NA())</f>
        <v>#N/A</v>
      </c>
      <c r="AU146" t="e">
        <f t="shared" si="35"/>
        <v>#N/A</v>
      </c>
      <c r="AV146" t="e">
        <f t="shared" si="35"/>
        <v>#N/A</v>
      </c>
      <c r="AW146" t="e">
        <f t="shared" si="35"/>
        <v>#N/A</v>
      </c>
      <c r="AX146" t="e">
        <f t="shared" si="35"/>
        <v>#N/A</v>
      </c>
      <c r="AY146" t="e">
        <f t="shared" si="35"/>
        <v>#N/A</v>
      </c>
      <c r="AZ146" s="13" t="e">
        <f t="shared" si="35"/>
        <v>#N/A</v>
      </c>
      <c r="BB146">
        <v>761</v>
      </c>
    </row>
    <row r="147" spans="2:54" x14ac:dyDescent="0.45">
      <c r="B147" s="11">
        <v>10</v>
      </c>
      <c r="C147" s="13">
        <v>130</v>
      </c>
      <c r="D147">
        <v>4</v>
      </c>
      <c r="E147">
        <v>1</v>
      </c>
      <c r="F147">
        <f t="shared" ref="F147:F210" si="36">IF(D147&lt;=INDEX($C$2:$C$15,B147),1,0)</f>
        <v>1</v>
      </c>
      <c r="G147">
        <v>186</v>
      </c>
      <c r="H147" s="13">
        <f t="shared" ref="H147:H178" ca="1" si="37">IF(F147=1,MIN(I147,RANDBETWEEN(lower,upper)),0)</f>
        <v>159</v>
      </c>
      <c r="I147">
        <f t="shared" ca="1" si="27"/>
        <v>739</v>
      </c>
      <c r="J147">
        <f t="shared" ref="J147:J210" ca="1" si="38">I147+G147-H147</f>
        <v>766</v>
      </c>
      <c r="K147">
        <f t="shared" ca="1" si="28"/>
        <v>0</v>
      </c>
      <c r="L147">
        <f t="shared" ca="1" si="29"/>
        <v>159</v>
      </c>
      <c r="M147" s="13" t="str">
        <f t="shared" si="31"/>
        <v/>
      </c>
      <c r="N147">
        <f t="shared" ref="N147:N210" ca="1" si="39">J148-J147</f>
        <v>67</v>
      </c>
      <c r="AT147" s="12" t="e">
        <f t="shared" si="35"/>
        <v>#N/A</v>
      </c>
      <c r="AU147" t="e">
        <f t="shared" si="35"/>
        <v>#N/A</v>
      </c>
      <c r="AV147" t="e">
        <f t="shared" si="35"/>
        <v>#N/A</v>
      </c>
      <c r="AW147" t="e">
        <f t="shared" si="35"/>
        <v>#N/A</v>
      </c>
      <c r="AX147" t="e">
        <f t="shared" si="35"/>
        <v>#N/A</v>
      </c>
      <c r="AY147" t="e">
        <f t="shared" si="35"/>
        <v>#N/A</v>
      </c>
      <c r="AZ147" s="13" t="e">
        <f t="shared" si="35"/>
        <v>#N/A</v>
      </c>
      <c r="BB147">
        <v>797</v>
      </c>
    </row>
    <row r="148" spans="2:54" x14ac:dyDescent="0.45">
      <c r="B148" s="11">
        <v>10</v>
      </c>
      <c r="C148" s="13">
        <v>131</v>
      </c>
      <c r="D148">
        <v>5</v>
      </c>
      <c r="E148">
        <v>1</v>
      </c>
      <c r="F148">
        <f t="shared" si="36"/>
        <v>1</v>
      </c>
      <c r="G148">
        <v>190</v>
      </c>
      <c r="H148" s="13">
        <f t="shared" ca="1" si="37"/>
        <v>123</v>
      </c>
      <c r="I148">
        <f t="shared" ref="I148:I211" ca="1" si="40">J147</f>
        <v>766</v>
      </c>
      <c r="J148">
        <f t="shared" ca="1" si="38"/>
        <v>833</v>
      </c>
      <c r="K148">
        <f t="shared" ref="K148:K211" ca="1" si="41">IF(AND(H148=I148,F148=1),1,0)</f>
        <v>0</v>
      </c>
      <c r="L148">
        <f t="shared" ref="L148:L211" ca="1" si="42">IF(OR(F148=0,K148=1),"",H148)</f>
        <v>123</v>
      </c>
      <c r="M148" s="13" t="str">
        <f t="shared" si="31"/>
        <v/>
      </c>
      <c r="N148">
        <f t="shared" ca="1" si="39"/>
        <v>-150</v>
      </c>
      <c r="AT148" s="12" t="e">
        <f t="shared" si="35"/>
        <v>#N/A</v>
      </c>
      <c r="AU148" t="e">
        <f t="shared" si="35"/>
        <v>#N/A</v>
      </c>
      <c r="AV148" t="e">
        <f t="shared" si="35"/>
        <v>#N/A</v>
      </c>
      <c r="AW148" t="e">
        <f t="shared" si="35"/>
        <v>#N/A</v>
      </c>
      <c r="AX148" t="e">
        <f t="shared" si="35"/>
        <v>#N/A</v>
      </c>
      <c r="AY148" t="e">
        <f t="shared" si="35"/>
        <v>#N/A</v>
      </c>
      <c r="AZ148" s="13" t="e">
        <f t="shared" si="35"/>
        <v>#N/A</v>
      </c>
      <c r="BB148">
        <v>837</v>
      </c>
    </row>
    <row r="149" spans="2:54" x14ac:dyDescent="0.45">
      <c r="B149" s="11">
        <v>10</v>
      </c>
      <c r="C149" s="13">
        <v>132</v>
      </c>
      <c r="D149">
        <v>6</v>
      </c>
      <c r="E149">
        <v>0</v>
      </c>
      <c r="F149">
        <f t="shared" si="36"/>
        <v>1</v>
      </c>
      <c r="G149">
        <v>0</v>
      </c>
      <c r="H149" s="13">
        <f t="shared" ca="1" si="37"/>
        <v>150</v>
      </c>
      <c r="I149">
        <f t="shared" ca="1" si="40"/>
        <v>833</v>
      </c>
      <c r="J149">
        <f t="shared" ca="1" si="38"/>
        <v>683</v>
      </c>
      <c r="K149">
        <f t="shared" ca="1" si="41"/>
        <v>0</v>
      </c>
      <c r="L149">
        <f t="shared" ca="1" si="42"/>
        <v>150</v>
      </c>
      <c r="M149" s="13" t="str">
        <f t="shared" si="31"/>
        <v/>
      </c>
      <c r="N149">
        <f t="shared" ca="1" si="39"/>
        <v>0</v>
      </c>
      <c r="AT149" s="12" t="e">
        <f t="shared" si="35"/>
        <v>#N/A</v>
      </c>
      <c r="AU149" t="e">
        <f t="shared" si="35"/>
        <v>#N/A</v>
      </c>
      <c r="AV149" t="e">
        <f t="shared" si="35"/>
        <v>#N/A</v>
      </c>
      <c r="AW149" t="e">
        <f t="shared" si="35"/>
        <v>#N/A</v>
      </c>
      <c r="AX149" t="e">
        <f t="shared" si="35"/>
        <v>#N/A</v>
      </c>
      <c r="AY149" t="e">
        <f t="shared" si="35"/>
        <v>#N/A</v>
      </c>
      <c r="AZ149" s="13" t="e">
        <f t="shared" si="35"/>
        <v>#N/A</v>
      </c>
      <c r="BB149">
        <v>837</v>
      </c>
    </row>
    <row r="150" spans="2:54" x14ac:dyDescent="0.45">
      <c r="B150" s="11">
        <v>10</v>
      </c>
      <c r="C150" s="13">
        <v>133</v>
      </c>
      <c r="D150" s="15">
        <v>7</v>
      </c>
      <c r="E150" s="15">
        <v>0</v>
      </c>
      <c r="F150">
        <f t="shared" si="36"/>
        <v>0</v>
      </c>
      <c r="G150" s="15">
        <v>0</v>
      </c>
      <c r="H150" s="13">
        <f t="shared" ca="1" si="37"/>
        <v>0</v>
      </c>
      <c r="I150">
        <f t="shared" ca="1" si="40"/>
        <v>683</v>
      </c>
      <c r="J150">
        <f t="shared" ca="1" si="38"/>
        <v>683</v>
      </c>
      <c r="K150">
        <f t="shared" ca="1" si="41"/>
        <v>0</v>
      </c>
      <c r="L150" t="str">
        <f t="shared" ca="1" si="42"/>
        <v/>
      </c>
      <c r="M150" s="13" t="str">
        <f t="shared" si="31"/>
        <v/>
      </c>
      <c r="N150">
        <f t="shared" ca="1" si="39"/>
        <v>61</v>
      </c>
      <c r="AT150" s="12" t="e">
        <f t="shared" si="35"/>
        <v>#N/A</v>
      </c>
      <c r="AU150" t="e">
        <f t="shared" si="35"/>
        <v>#N/A</v>
      </c>
      <c r="AV150" t="e">
        <f t="shared" si="35"/>
        <v>#N/A</v>
      </c>
      <c r="AW150" t="e">
        <f t="shared" si="35"/>
        <v>#N/A</v>
      </c>
      <c r="AX150" t="e">
        <f t="shared" si="35"/>
        <v>#N/A</v>
      </c>
      <c r="AY150" t="e">
        <f t="shared" si="35"/>
        <v>#N/A</v>
      </c>
      <c r="AZ150" s="13" t="e">
        <f t="shared" si="35"/>
        <v>#N/A</v>
      </c>
      <c r="BB150">
        <v>837</v>
      </c>
    </row>
    <row r="151" spans="2:54" x14ac:dyDescent="0.45">
      <c r="B151" s="11">
        <v>10</v>
      </c>
      <c r="C151" s="13">
        <v>134</v>
      </c>
      <c r="D151" s="8">
        <v>1</v>
      </c>
      <c r="E151" s="8">
        <v>1</v>
      </c>
      <c r="F151">
        <f t="shared" si="36"/>
        <v>1</v>
      </c>
      <c r="G151" s="8">
        <v>185</v>
      </c>
      <c r="H151" s="13">
        <f t="shared" ca="1" si="37"/>
        <v>124</v>
      </c>
      <c r="I151">
        <f t="shared" ca="1" si="40"/>
        <v>683</v>
      </c>
      <c r="J151">
        <f t="shared" ca="1" si="38"/>
        <v>744</v>
      </c>
      <c r="K151">
        <f t="shared" ca="1" si="41"/>
        <v>0</v>
      </c>
      <c r="L151">
        <f t="shared" ca="1" si="42"/>
        <v>124</v>
      </c>
      <c r="M151" s="13" t="str">
        <f t="shared" si="31"/>
        <v/>
      </c>
      <c r="N151">
        <f t="shared" ca="1" si="39"/>
        <v>53</v>
      </c>
      <c r="AT151" s="12" t="e">
        <f t="shared" si="35"/>
        <v>#N/A</v>
      </c>
      <c r="AU151" t="e">
        <f t="shared" si="35"/>
        <v>#N/A</v>
      </c>
      <c r="AV151" t="e">
        <f t="shared" si="35"/>
        <v>#N/A</v>
      </c>
      <c r="AW151" t="e">
        <f t="shared" si="35"/>
        <v>#N/A</v>
      </c>
      <c r="AX151" t="e">
        <f t="shared" si="35"/>
        <v>#N/A</v>
      </c>
      <c r="AY151" t="e">
        <f t="shared" si="35"/>
        <v>#N/A</v>
      </c>
      <c r="AZ151" s="13" t="e">
        <f t="shared" si="35"/>
        <v>#N/A</v>
      </c>
      <c r="BB151">
        <v>872</v>
      </c>
    </row>
    <row r="152" spans="2:54" x14ac:dyDescent="0.45">
      <c r="B152" s="11">
        <v>10</v>
      </c>
      <c r="C152" s="13">
        <v>135</v>
      </c>
      <c r="D152">
        <v>2</v>
      </c>
      <c r="E152">
        <v>1</v>
      </c>
      <c r="F152">
        <f t="shared" si="36"/>
        <v>1</v>
      </c>
      <c r="G152">
        <v>190</v>
      </c>
      <c r="H152" s="13">
        <f t="shared" ca="1" si="37"/>
        <v>137</v>
      </c>
      <c r="I152">
        <f t="shared" ca="1" si="40"/>
        <v>744</v>
      </c>
      <c r="J152">
        <f t="shared" ca="1" si="38"/>
        <v>797</v>
      </c>
      <c r="K152">
        <f t="shared" ca="1" si="41"/>
        <v>0</v>
      </c>
      <c r="L152">
        <f t="shared" ca="1" si="42"/>
        <v>137</v>
      </c>
      <c r="M152" s="13" t="str">
        <f t="shared" si="31"/>
        <v/>
      </c>
      <c r="N152">
        <f t="shared" ca="1" si="39"/>
        <v>42</v>
      </c>
      <c r="AT152" s="12" t="e">
        <f t="shared" si="35"/>
        <v>#N/A</v>
      </c>
      <c r="AU152" t="e">
        <f t="shared" si="35"/>
        <v>#N/A</v>
      </c>
      <c r="AV152" t="e">
        <f t="shared" si="35"/>
        <v>#N/A</v>
      </c>
      <c r="AW152" t="e">
        <f t="shared" si="35"/>
        <v>#N/A</v>
      </c>
      <c r="AX152" t="e">
        <f t="shared" si="35"/>
        <v>#N/A</v>
      </c>
      <c r="AY152" t="e">
        <f t="shared" si="35"/>
        <v>#N/A</v>
      </c>
      <c r="AZ152" s="13" t="e">
        <f t="shared" si="35"/>
        <v>#N/A</v>
      </c>
      <c r="BB152">
        <v>912</v>
      </c>
    </row>
    <row r="153" spans="2:54" x14ac:dyDescent="0.45">
      <c r="B153" s="11">
        <v>10</v>
      </c>
      <c r="C153" s="13">
        <v>136</v>
      </c>
      <c r="D153">
        <v>3</v>
      </c>
      <c r="E153">
        <v>1</v>
      </c>
      <c r="F153">
        <f t="shared" si="36"/>
        <v>1</v>
      </c>
      <c r="G153">
        <v>175</v>
      </c>
      <c r="H153" s="13">
        <f t="shared" ca="1" si="37"/>
        <v>133</v>
      </c>
      <c r="I153">
        <f t="shared" ca="1" si="40"/>
        <v>797</v>
      </c>
      <c r="J153">
        <f t="shared" ca="1" si="38"/>
        <v>839</v>
      </c>
      <c r="K153">
        <f t="shared" ca="1" si="41"/>
        <v>0</v>
      </c>
      <c r="L153">
        <f t="shared" ca="1" si="42"/>
        <v>133</v>
      </c>
      <c r="M153" s="13" t="str">
        <f t="shared" si="31"/>
        <v/>
      </c>
      <c r="N153">
        <f t="shared" ca="1" si="39"/>
        <v>50</v>
      </c>
      <c r="AT153" s="12" t="e">
        <f t="shared" si="35"/>
        <v>#N/A</v>
      </c>
      <c r="AU153" t="e">
        <f t="shared" si="35"/>
        <v>#N/A</v>
      </c>
      <c r="AV153" t="e">
        <f t="shared" si="35"/>
        <v>#N/A</v>
      </c>
      <c r="AW153" t="e">
        <f t="shared" si="35"/>
        <v>#N/A</v>
      </c>
      <c r="AX153" t="e">
        <f t="shared" si="35"/>
        <v>#N/A</v>
      </c>
      <c r="AY153" t="e">
        <f t="shared" si="35"/>
        <v>#N/A</v>
      </c>
      <c r="AZ153" s="13" t="e">
        <f t="shared" si="35"/>
        <v>#N/A</v>
      </c>
      <c r="BB153">
        <v>937</v>
      </c>
    </row>
    <row r="154" spans="2:54" x14ac:dyDescent="0.45">
      <c r="B154" s="11">
        <v>10</v>
      </c>
      <c r="C154" s="13">
        <v>137</v>
      </c>
      <c r="D154">
        <v>4</v>
      </c>
      <c r="E154">
        <v>1</v>
      </c>
      <c r="F154">
        <f t="shared" si="36"/>
        <v>1</v>
      </c>
      <c r="G154">
        <v>185</v>
      </c>
      <c r="H154" s="13">
        <f t="shared" ca="1" si="37"/>
        <v>135</v>
      </c>
      <c r="I154">
        <f t="shared" ca="1" si="40"/>
        <v>839</v>
      </c>
      <c r="J154">
        <f t="shared" ca="1" si="38"/>
        <v>889</v>
      </c>
      <c r="K154">
        <f t="shared" ca="1" si="41"/>
        <v>0</v>
      </c>
      <c r="L154">
        <f t="shared" ca="1" si="42"/>
        <v>135</v>
      </c>
      <c r="M154" s="13" t="str">
        <f t="shared" si="31"/>
        <v/>
      </c>
      <c r="N154">
        <f t="shared" ca="1" si="39"/>
        <v>20</v>
      </c>
      <c r="AT154" s="12" t="e">
        <f t="shared" si="35"/>
        <v>#N/A</v>
      </c>
      <c r="AU154" t="e">
        <f t="shared" si="35"/>
        <v>#N/A</v>
      </c>
      <c r="AV154" t="e">
        <f t="shared" si="35"/>
        <v>#N/A</v>
      </c>
      <c r="AW154" t="e">
        <f t="shared" si="35"/>
        <v>#N/A</v>
      </c>
      <c r="AX154" t="e">
        <f t="shared" si="35"/>
        <v>#N/A</v>
      </c>
      <c r="AY154" t="e">
        <f t="shared" si="35"/>
        <v>#N/A</v>
      </c>
      <c r="AZ154" s="13" t="e">
        <f t="shared" si="35"/>
        <v>#N/A</v>
      </c>
      <c r="BB154">
        <v>972</v>
      </c>
    </row>
    <row r="155" spans="2:54" x14ac:dyDescent="0.45">
      <c r="B155" s="11">
        <v>10</v>
      </c>
      <c r="C155" s="13">
        <v>138</v>
      </c>
      <c r="D155">
        <v>5</v>
      </c>
      <c r="E155">
        <v>1</v>
      </c>
      <c r="F155">
        <f t="shared" si="36"/>
        <v>1</v>
      </c>
      <c r="G155">
        <v>175</v>
      </c>
      <c r="H155" s="13">
        <f t="shared" ca="1" si="37"/>
        <v>155</v>
      </c>
      <c r="I155">
        <f t="shared" ca="1" si="40"/>
        <v>889</v>
      </c>
      <c r="J155">
        <f t="shared" ca="1" si="38"/>
        <v>909</v>
      </c>
      <c r="K155">
        <f t="shared" ca="1" si="41"/>
        <v>0</v>
      </c>
      <c r="L155">
        <f t="shared" ca="1" si="42"/>
        <v>155</v>
      </c>
      <c r="M155" s="13" t="str">
        <f t="shared" si="31"/>
        <v/>
      </c>
      <c r="N155">
        <f t="shared" ca="1" si="39"/>
        <v>-127</v>
      </c>
      <c r="AT155" s="12" t="e">
        <f t="shared" si="35"/>
        <v>#N/A</v>
      </c>
      <c r="AU155" t="e">
        <f t="shared" si="35"/>
        <v>#N/A</v>
      </c>
      <c r="AV155" t="e">
        <f t="shared" si="35"/>
        <v>#N/A</v>
      </c>
      <c r="AW155" t="e">
        <f t="shared" si="35"/>
        <v>#N/A</v>
      </c>
      <c r="AX155" t="e">
        <f t="shared" si="35"/>
        <v>#N/A</v>
      </c>
      <c r="AY155" t="e">
        <f t="shared" si="35"/>
        <v>#N/A</v>
      </c>
      <c r="AZ155" s="13" t="e">
        <f t="shared" si="35"/>
        <v>#N/A</v>
      </c>
      <c r="BB155">
        <v>997</v>
      </c>
    </row>
    <row r="156" spans="2:54" x14ac:dyDescent="0.45">
      <c r="B156" s="11">
        <v>10</v>
      </c>
      <c r="C156" s="13">
        <v>139</v>
      </c>
      <c r="D156">
        <v>6</v>
      </c>
      <c r="E156">
        <v>0</v>
      </c>
      <c r="F156">
        <f t="shared" si="36"/>
        <v>1</v>
      </c>
      <c r="G156">
        <v>0</v>
      </c>
      <c r="H156" s="13">
        <f t="shared" ca="1" si="37"/>
        <v>127</v>
      </c>
      <c r="I156">
        <f t="shared" ca="1" si="40"/>
        <v>909</v>
      </c>
      <c r="J156">
        <f t="shared" ca="1" si="38"/>
        <v>782</v>
      </c>
      <c r="K156">
        <f t="shared" ca="1" si="41"/>
        <v>0</v>
      </c>
      <c r="L156">
        <f t="shared" ca="1" si="42"/>
        <v>127</v>
      </c>
      <c r="M156" s="13" t="str">
        <f t="shared" si="31"/>
        <v/>
      </c>
      <c r="N156">
        <f t="shared" ca="1" si="39"/>
        <v>0</v>
      </c>
      <c r="AT156" s="12" t="e">
        <f t="shared" si="35"/>
        <v>#N/A</v>
      </c>
      <c r="AU156" t="e">
        <f t="shared" si="35"/>
        <v>#N/A</v>
      </c>
      <c r="AV156" t="e">
        <f t="shared" si="35"/>
        <v>#N/A</v>
      </c>
      <c r="AW156" t="e">
        <f t="shared" si="35"/>
        <v>#N/A</v>
      </c>
      <c r="AX156" t="e">
        <f t="shared" si="35"/>
        <v>#N/A</v>
      </c>
      <c r="AY156" t="e">
        <f t="shared" si="35"/>
        <v>#N/A</v>
      </c>
      <c r="AZ156" s="13" t="e">
        <f t="shared" si="35"/>
        <v>#N/A</v>
      </c>
      <c r="BB156">
        <v>997</v>
      </c>
    </row>
    <row r="157" spans="2:54" x14ac:dyDescent="0.45">
      <c r="B157" s="11">
        <v>10</v>
      </c>
      <c r="C157" s="13">
        <v>140</v>
      </c>
      <c r="D157" s="15">
        <v>7</v>
      </c>
      <c r="E157" s="15">
        <v>0</v>
      </c>
      <c r="F157">
        <f t="shared" si="36"/>
        <v>0</v>
      </c>
      <c r="G157" s="15">
        <v>0</v>
      </c>
      <c r="H157" s="13">
        <f t="shared" ca="1" si="37"/>
        <v>0</v>
      </c>
      <c r="I157">
        <f t="shared" ca="1" si="40"/>
        <v>782</v>
      </c>
      <c r="J157">
        <f t="shared" ca="1" si="38"/>
        <v>782</v>
      </c>
      <c r="K157">
        <f t="shared" ca="1" si="41"/>
        <v>0</v>
      </c>
      <c r="L157" t="str">
        <f t="shared" ca="1" si="42"/>
        <v/>
      </c>
      <c r="M157" s="13">
        <f t="shared" ca="1" si="31"/>
        <v>497</v>
      </c>
      <c r="N157">
        <f t="shared" ca="1" si="39"/>
        <v>-2</v>
      </c>
      <c r="AT157" s="12" t="e">
        <f t="shared" si="35"/>
        <v>#N/A</v>
      </c>
      <c r="AU157" t="e">
        <f t="shared" si="35"/>
        <v>#N/A</v>
      </c>
      <c r="AV157" t="e">
        <f t="shared" si="35"/>
        <v>#N/A</v>
      </c>
      <c r="AW157" t="e">
        <f t="shared" si="35"/>
        <v>#N/A</v>
      </c>
      <c r="AX157" t="e">
        <f t="shared" si="35"/>
        <v>#N/A</v>
      </c>
      <c r="AY157" t="e">
        <f t="shared" si="35"/>
        <v>#N/A</v>
      </c>
      <c r="AZ157" s="13" t="e">
        <f t="shared" si="35"/>
        <v>#N/A</v>
      </c>
      <c r="BB157">
        <v>997</v>
      </c>
    </row>
    <row r="158" spans="2:54" x14ac:dyDescent="0.45">
      <c r="B158" s="7">
        <v>11</v>
      </c>
      <c r="C158" s="13">
        <v>141</v>
      </c>
      <c r="D158" s="8">
        <v>1</v>
      </c>
      <c r="E158" s="8">
        <v>1</v>
      </c>
      <c r="F158">
        <f t="shared" si="36"/>
        <v>1</v>
      </c>
      <c r="G158" s="8">
        <v>146</v>
      </c>
      <c r="H158" s="13">
        <f t="shared" ca="1" si="37"/>
        <v>148</v>
      </c>
      <c r="I158">
        <f t="shared" ca="1" si="40"/>
        <v>782</v>
      </c>
      <c r="J158">
        <f t="shared" ca="1" si="38"/>
        <v>780</v>
      </c>
      <c r="K158">
        <f t="shared" ca="1" si="41"/>
        <v>0</v>
      </c>
      <c r="L158">
        <f t="shared" ca="1" si="42"/>
        <v>148</v>
      </c>
      <c r="M158" s="13" t="str">
        <f t="shared" si="31"/>
        <v/>
      </c>
      <c r="N158">
        <f t="shared" ca="1" si="39"/>
        <v>8</v>
      </c>
      <c r="AT158" s="12" t="e">
        <f t="shared" si="35"/>
        <v>#N/A</v>
      </c>
      <c r="AU158" t="e">
        <f t="shared" si="35"/>
        <v>#N/A</v>
      </c>
      <c r="AV158" t="e">
        <f t="shared" si="35"/>
        <v>#N/A</v>
      </c>
      <c r="AW158" t="e">
        <f t="shared" si="35"/>
        <v>#N/A</v>
      </c>
      <c r="AX158" t="e">
        <f t="shared" si="35"/>
        <v>#N/A</v>
      </c>
      <c r="AY158" t="e">
        <f t="shared" si="35"/>
        <v>#N/A</v>
      </c>
      <c r="AZ158" s="13" t="e">
        <f t="shared" si="35"/>
        <v>#N/A</v>
      </c>
      <c r="BB158">
        <v>988</v>
      </c>
    </row>
    <row r="159" spans="2:54" x14ac:dyDescent="0.45">
      <c r="B159" s="7">
        <v>11</v>
      </c>
      <c r="C159" s="13">
        <v>142</v>
      </c>
      <c r="D159">
        <v>2</v>
      </c>
      <c r="E159">
        <v>1</v>
      </c>
      <c r="F159">
        <f t="shared" si="36"/>
        <v>1</v>
      </c>
      <c r="G159">
        <v>158</v>
      </c>
      <c r="H159" s="13">
        <f t="shared" ca="1" si="37"/>
        <v>150</v>
      </c>
      <c r="I159">
        <f t="shared" ca="1" si="40"/>
        <v>780</v>
      </c>
      <c r="J159">
        <f t="shared" ca="1" si="38"/>
        <v>788</v>
      </c>
      <c r="K159">
        <f t="shared" ca="1" si="41"/>
        <v>0</v>
      </c>
      <c r="L159">
        <f t="shared" ca="1" si="42"/>
        <v>150</v>
      </c>
      <c r="M159" s="13" t="str">
        <f t="shared" si="31"/>
        <v/>
      </c>
      <c r="N159">
        <f t="shared" ca="1" si="39"/>
        <v>3</v>
      </c>
      <c r="AT159" s="12" t="e">
        <f t="shared" si="35"/>
        <v>#N/A</v>
      </c>
      <c r="AU159" t="e">
        <f t="shared" si="35"/>
        <v>#N/A</v>
      </c>
      <c r="AV159" t="e">
        <f t="shared" si="35"/>
        <v>#N/A</v>
      </c>
      <c r="AW159" t="e">
        <f t="shared" si="35"/>
        <v>#N/A</v>
      </c>
      <c r="AX159" t="e">
        <f t="shared" si="35"/>
        <v>#N/A</v>
      </c>
      <c r="AY159" t="e">
        <f t="shared" si="35"/>
        <v>#N/A</v>
      </c>
      <c r="AZ159" s="13" t="e">
        <f t="shared" si="35"/>
        <v>#N/A</v>
      </c>
      <c r="BB159">
        <v>991</v>
      </c>
    </row>
    <row r="160" spans="2:54" x14ac:dyDescent="0.45">
      <c r="B160" s="7">
        <v>11</v>
      </c>
      <c r="C160" s="13">
        <v>143</v>
      </c>
      <c r="D160">
        <v>3</v>
      </c>
      <c r="E160">
        <v>1</v>
      </c>
      <c r="F160">
        <f t="shared" si="36"/>
        <v>1</v>
      </c>
      <c r="G160">
        <v>153</v>
      </c>
      <c r="H160" s="13">
        <f t="shared" ca="1" si="37"/>
        <v>150</v>
      </c>
      <c r="I160">
        <f t="shared" ca="1" si="40"/>
        <v>788</v>
      </c>
      <c r="J160">
        <f t="shared" ca="1" si="38"/>
        <v>791</v>
      </c>
      <c r="K160">
        <f t="shared" ca="1" si="41"/>
        <v>0</v>
      </c>
      <c r="L160">
        <f t="shared" ca="1" si="42"/>
        <v>150</v>
      </c>
      <c r="M160" s="13" t="str">
        <f t="shared" si="31"/>
        <v/>
      </c>
      <c r="N160">
        <f t="shared" ca="1" si="39"/>
        <v>38</v>
      </c>
      <c r="AT160" s="12" t="e">
        <f t="shared" si="35"/>
        <v>#N/A</v>
      </c>
      <c r="AU160" t="e">
        <f t="shared" si="35"/>
        <v>#N/A</v>
      </c>
      <c r="AV160" t="e">
        <f t="shared" si="35"/>
        <v>#N/A</v>
      </c>
      <c r="AW160" t="e">
        <f t="shared" si="35"/>
        <v>#N/A</v>
      </c>
      <c r="AX160" t="e">
        <f t="shared" si="35"/>
        <v>#N/A</v>
      </c>
      <c r="AY160" t="e">
        <f t="shared" si="35"/>
        <v>#N/A</v>
      </c>
      <c r="AZ160" s="13" t="e">
        <f t="shared" si="35"/>
        <v>#N/A</v>
      </c>
      <c r="BB160">
        <v>989</v>
      </c>
    </row>
    <row r="161" spans="2:54" x14ac:dyDescent="0.45">
      <c r="B161" s="7">
        <v>11</v>
      </c>
      <c r="C161" s="13">
        <v>144</v>
      </c>
      <c r="D161">
        <v>4</v>
      </c>
      <c r="E161">
        <v>1</v>
      </c>
      <c r="F161">
        <f t="shared" si="36"/>
        <v>1</v>
      </c>
      <c r="G161">
        <v>160</v>
      </c>
      <c r="H161" s="13">
        <f t="shared" ca="1" si="37"/>
        <v>122</v>
      </c>
      <c r="I161">
        <f t="shared" ca="1" si="40"/>
        <v>791</v>
      </c>
      <c r="J161">
        <f t="shared" ca="1" si="38"/>
        <v>829</v>
      </c>
      <c r="K161">
        <f t="shared" ca="1" si="41"/>
        <v>0</v>
      </c>
      <c r="L161">
        <f t="shared" ca="1" si="42"/>
        <v>122</v>
      </c>
      <c r="M161" s="13" t="str">
        <f t="shared" si="31"/>
        <v/>
      </c>
      <c r="N161">
        <f t="shared" ca="1" si="39"/>
        <v>19</v>
      </c>
      <c r="AT161" s="12" t="e">
        <f t="shared" si="35"/>
        <v>#N/A</v>
      </c>
      <c r="AU161" t="e">
        <f t="shared" si="35"/>
        <v>#N/A</v>
      </c>
      <c r="AV161" t="e">
        <f t="shared" si="35"/>
        <v>#N/A</v>
      </c>
      <c r="AW161" t="e">
        <f t="shared" si="35"/>
        <v>#N/A</v>
      </c>
      <c r="AX161" t="e">
        <f t="shared" si="35"/>
        <v>#N/A</v>
      </c>
      <c r="AY161" t="e">
        <f t="shared" si="35"/>
        <v>#N/A</v>
      </c>
      <c r="AZ161" s="13" t="e">
        <f t="shared" si="35"/>
        <v>#N/A</v>
      </c>
      <c r="BB161">
        <v>994</v>
      </c>
    </row>
    <row r="162" spans="2:54" x14ac:dyDescent="0.45">
      <c r="B162" s="7">
        <v>11</v>
      </c>
      <c r="C162" s="13">
        <v>145</v>
      </c>
      <c r="D162">
        <v>5</v>
      </c>
      <c r="E162">
        <v>1</v>
      </c>
      <c r="F162">
        <f t="shared" si="36"/>
        <v>1</v>
      </c>
      <c r="G162">
        <v>166</v>
      </c>
      <c r="H162" s="13">
        <f t="shared" ca="1" si="37"/>
        <v>147</v>
      </c>
      <c r="I162">
        <f t="shared" ca="1" si="40"/>
        <v>829</v>
      </c>
      <c r="J162">
        <f t="shared" ca="1" si="38"/>
        <v>848</v>
      </c>
      <c r="K162">
        <f t="shared" ca="1" si="41"/>
        <v>0</v>
      </c>
      <c r="L162">
        <f t="shared" ca="1" si="42"/>
        <v>147</v>
      </c>
      <c r="M162" s="13" t="str">
        <f t="shared" si="31"/>
        <v/>
      </c>
      <c r="N162">
        <f t="shared" ca="1" si="39"/>
        <v>0</v>
      </c>
      <c r="AT162" s="12" t="e">
        <f t="shared" ref="AT162:AZ177" si="43">IF($B162=AT$17,$J162,NA())</f>
        <v>#N/A</v>
      </c>
      <c r="AU162" t="e">
        <f t="shared" si="43"/>
        <v>#N/A</v>
      </c>
      <c r="AV162" t="e">
        <f t="shared" si="43"/>
        <v>#N/A</v>
      </c>
      <c r="AW162" t="e">
        <f t="shared" si="43"/>
        <v>#N/A</v>
      </c>
      <c r="AX162" t="e">
        <f t="shared" si="43"/>
        <v>#N/A</v>
      </c>
      <c r="AY162" t="e">
        <f t="shared" si="43"/>
        <v>#N/A</v>
      </c>
      <c r="AZ162" s="13" t="e">
        <f t="shared" si="43"/>
        <v>#N/A</v>
      </c>
      <c r="BB162">
        <v>1005</v>
      </c>
    </row>
    <row r="163" spans="2:54" x14ac:dyDescent="0.45">
      <c r="B163" s="7">
        <v>11</v>
      </c>
      <c r="C163" s="13">
        <v>146</v>
      </c>
      <c r="D163">
        <v>6</v>
      </c>
      <c r="E163">
        <v>0</v>
      </c>
      <c r="F163">
        <f t="shared" si="36"/>
        <v>0</v>
      </c>
      <c r="G163">
        <v>0</v>
      </c>
      <c r="H163" s="13">
        <f t="shared" ca="1" si="37"/>
        <v>0</v>
      </c>
      <c r="I163">
        <f t="shared" ca="1" si="40"/>
        <v>848</v>
      </c>
      <c r="J163">
        <f t="shared" ca="1" si="38"/>
        <v>848</v>
      </c>
      <c r="K163">
        <f t="shared" ca="1" si="41"/>
        <v>0</v>
      </c>
      <c r="L163" t="str">
        <f t="shared" ca="1" si="42"/>
        <v/>
      </c>
      <c r="M163" s="13" t="str">
        <f t="shared" si="31"/>
        <v/>
      </c>
      <c r="N163">
        <f t="shared" ca="1" si="39"/>
        <v>0</v>
      </c>
      <c r="AT163" s="12" t="e">
        <f t="shared" si="43"/>
        <v>#N/A</v>
      </c>
      <c r="AU163" t="e">
        <f t="shared" si="43"/>
        <v>#N/A</v>
      </c>
      <c r="AV163" t="e">
        <f t="shared" si="43"/>
        <v>#N/A</v>
      </c>
      <c r="AW163" t="e">
        <f t="shared" si="43"/>
        <v>#N/A</v>
      </c>
      <c r="AX163" t="e">
        <f t="shared" si="43"/>
        <v>#N/A</v>
      </c>
      <c r="AY163" t="e">
        <f t="shared" si="43"/>
        <v>#N/A</v>
      </c>
      <c r="AZ163" s="13" t="e">
        <f t="shared" si="43"/>
        <v>#N/A</v>
      </c>
      <c r="BB163">
        <v>1005</v>
      </c>
    </row>
    <row r="164" spans="2:54" x14ac:dyDescent="0.45">
      <c r="B164" s="7">
        <v>11</v>
      </c>
      <c r="C164" s="13">
        <v>147</v>
      </c>
      <c r="D164" s="15">
        <v>7</v>
      </c>
      <c r="E164" s="15">
        <v>0</v>
      </c>
      <c r="F164">
        <f t="shared" si="36"/>
        <v>0</v>
      </c>
      <c r="G164" s="15">
        <v>0</v>
      </c>
      <c r="H164" s="13">
        <f t="shared" ca="1" si="37"/>
        <v>0</v>
      </c>
      <c r="I164">
        <f t="shared" ca="1" si="40"/>
        <v>848</v>
      </c>
      <c r="J164">
        <f t="shared" ca="1" si="38"/>
        <v>848</v>
      </c>
      <c r="K164">
        <f t="shared" ca="1" si="41"/>
        <v>0</v>
      </c>
      <c r="L164" t="str">
        <f t="shared" ca="1" si="42"/>
        <v/>
      </c>
      <c r="M164" s="13" t="str">
        <f t="shared" si="31"/>
        <v/>
      </c>
      <c r="N164">
        <f t="shared" ca="1" si="39"/>
        <v>30</v>
      </c>
      <c r="AT164" s="12" t="e">
        <f t="shared" si="43"/>
        <v>#N/A</v>
      </c>
      <c r="AU164" t="e">
        <f t="shared" si="43"/>
        <v>#N/A</v>
      </c>
      <c r="AV164" t="e">
        <f t="shared" si="43"/>
        <v>#N/A</v>
      </c>
      <c r="AW164" t="e">
        <f t="shared" si="43"/>
        <v>#N/A</v>
      </c>
      <c r="AX164" t="e">
        <f t="shared" si="43"/>
        <v>#N/A</v>
      </c>
      <c r="AY164" t="e">
        <f t="shared" si="43"/>
        <v>#N/A</v>
      </c>
      <c r="AZ164" s="13" t="e">
        <f t="shared" si="43"/>
        <v>#N/A</v>
      </c>
      <c r="BB164">
        <v>1005</v>
      </c>
    </row>
    <row r="165" spans="2:54" x14ac:dyDescent="0.45">
      <c r="B165" s="7">
        <v>11</v>
      </c>
      <c r="C165" s="13">
        <v>148</v>
      </c>
      <c r="D165" s="8">
        <v>1</v>
      </c>
      <c r="E165" s="8">
        <v>1</v>
      </c>
      <c r="F165">
        <f t="shared" si="36"/>
        <v>1</v>
      </c>
      <c r="G165" s="8">
        <v>155</v>
      </c>
      <c r="H165" s="13">
        <f t="shared" ca="1" si="37"/>
        <v>125</v>
      </c>
      <c r="I165">
        <f t="shared" ca="1" si="40"/>
        <v>848</v>
      </c>
      <c r="J165">
        <f t="shared" ca="1" si="38"/>
        <v>878</v>
      </c>
      <c r="K165">
        <f t="shared" ca="1" si="41"/>
        <v>0</v>
      </c>
      <c r="L165">
        <f t="shared" ca="1" si="42"/>
        <v>125</v>
      </c>
      <c r="M165" s="13" t="str">
        <f t="shared" si="31"/>
        <v/>
      </c>
      <c r="N165">
        <f t="shared" ca="1" si="39"/>
        <v>26</v>
      </c>
      <c r="AT165" s="12" t="e">
        <f t="shared" si="43"/>
        <v>#N/A</v>
      </c>
      <c r="AU165" t="e">
        <f t="shared" si="43"/>
        <v>#N/A</v>
      </c>
      <c r="AV165" t="e">
        <f t="shared" si="43"/>
        <v>#N/A</v>
      </c>
      <c r="AW165" t="e">
        <f t="shared" si="43"/>
        <v>#N/A</v>
      </c>
      <c r="AX165" t="e">
        <f t="shared" si="43"/>
        <v>#N/A</v>
      </c>
      <c r="AY165" t="e">
        <f t="shared" si="43"/>
        <v>#N/A</v>
      </c>
      <c r="AZ165" s="13" t="e">
        <f t="shared" si="43"/>
        <v>#N/A</v>
      </c>
      <c r="BB165">
        <v>1005</v>
      </c>
    </row>
    <row r="166" spans="2:54" x14ac:dyDescent="0.45">
      <c r="B166" s="7">
        <v>11</v>
      </c>
      <c r="C166" s="13">
        <v>149</v>
      </c>
      <c r="D166">
        <v>2</v>
      </c>
      <c r="E166">
        <v>1</v>
      </c>
      <c r="F166">
        <f t="shared" si="36"/>
        <v>1</v>
      </c>
      <c r="G166">
        <v>161</v>
      </c>
      <c r="H166" s="13">
        <f t="shared" ca="1" si="37"/>
        <v>135</v>
      </c>
      <c r="I166">
        <f t="shared" ca="1" si="40"/>
        <v>878</v>
      </c>
      <c r="J166">
        <f t="shared" ca="1" si="38"/>
        <v>904</v>
      </c>
      <c r="K166">
        <f t="shared" ca="1" si="41"/>
        <v>0</v>
      </c>
      <c r="L166">
        <f t="shared" ca="1" si="42"/>
        <v>135</v>
      </c>
      <c r="M166" s="13" t="str">
        <f t="shared" si="31"/>
        <v/>
      </c>
      <c r="N166">
        <f t="shared" ca="1" si="39"/>
        <v>33</v>
      </c>
      <c r="AT166" s="12" t="e">
        <f t="shared" si="43"/>
        <v>#N/A</v>
      </c>
      <c r="AU166" t="e">
        <f t="shared" si="43"/>
        <v>#N/A</v>
      </c>
      <c r="AV166" t="e">
        <f t="shared" si="43"/>
        <v>#N/A</v>
      </c>
      <c r="AW166" t="e">
        <f t="shared" si="43"/>
        <v>#N/A</v>
      </c>
      <c r="AX166" t="e">
        <f t="shared" si="43"/>
        <v>#N/A</v>
      </c>
      <c r="AY166" t="e">
        <f t="shared" si="43"/>
        <v>#N/A</v>
      </c>
      <c r="AZ166" s="13" t="e">
        <f t="shared" si="43"/>
        <v>#N/A</v>
      </c>
      <c r="BB166">
        <v>1011</v>
      </c>
    </row>
    <row r="167" spans="2:54" x14ac:dyDescent="0.45">
      <c r="B167" s="7">
        <v>11</v>
      </c>
      <c r="C167" s="13">
        <v>150</v>
      </c>
      <c r="D167">
        <v>3</v>
      </c>
      <c r="E167">
        <v>1</v>
      </c>
      <c r="F167">
        <f t="shared" si="36"/>
        <v>1</v>
      </c>
      <c r="G167">
        <v>153</v>
      </c>
      <c r="H167" s="13">
        <f t="shared" ca="1" si="37"/>
        <v>120</v>
      </c>
      <c r="I167">
        <f t="shared" ca="1" si="40"/>
        <v>904</v>
      </c>
      <c r="J167">
        <f t="shared" ca="1" si="38"/>
        <v>937</v>
      </c>
      <c r="K167">
        <f t="shared" ca="1" si="41"/>
        <v>0</v>
      </c>
      <c r="L167">
        <f t="shared" ca="1" si="42"/>
        <v>120</v>
      </c>
      <c r="M167" s="13" t="str">
        <f t="shared" si="31"/>
        <v/>
      </c>
      <c r="N167">
        <f t="shared" ca="1" si="39"/>
        <v>20</v>
      </c>
      <c r="AT167" s="12" t="e">
        <f t="shared" si="43"/>
        <v>#N/A</v>
      </c>
      <c r="AU167" t="e">
        <f t="shared" si="43"/>
        <v>#N/A</v>
      </c>
      <c r="AV167" t="e">
        <f t="shared" si="43"/>
        <v>#N/A</v>
      </c>
      <c r="AW167" t="e">
        <f t="shared" si="43"/>
        <v>#N/A</v>
      </c>
      <c r="AX167" t="e">
        <f t="shared" si="43"/>
        <v>#N/A</v>
      </c>
      <c r="AY167" t="e">
        <f t="shared" si="43"/>
        <v>#N/A</v>
      </c>
      <c r="AZ167" s="13" t="e">
        <f t="shared" si="43"/>
        <v>#N/A</v>
      </c>
      <c r="BB167">
        <v>1009</v>
      </c>
    </row>
    <row r="168" spans="2:54" x14ac:dyDescent="0.45">
      <c r="B168" s="7">
        <v>11</v>
      </c>
      <c r="C168" s="13">
        <v>151</v>
      </c>
      <c r="D168">
        <v>4</v>
      </c>
      <c r="E168">
        <v>1</v>
      </c>
      <c r="F168">
        <f t="shared" si="36"/>
        <v>1</v>
      </c>
      <c r="G168">
        <v>148</v>
      </c>
      <c r="H168" s="13">
        <f t="shared" ca="1" si="37"/>
        <v>128</v>
      </c>
      <c r="I168">
        <f t="shared" ca="1" si="40"/>
        <v>937</v>
      </c>
      <c r="J168">
        <f t="shared" ca="1" si="38"/>
        <v>957</v>
      </c>
      <c r="K168">
        <f t="shared" ca="1" si="41"/>
        <v>0</v>
      </c>
      <c r="L168">
        <f t="shared" ca="1" si="42"/>
        <v>128</v>
      </c>
      <c r="M168" s="13" t="str">
        <f t="shared" si="31"/>
        <v/>
      </c>
      <c r="N168">
        <f t="shared" ca="1" si="39"/>
        <v>-17</v>
      </c>
      <c r="AT168" s="12" t="e">
        <f t="shared" si="43"/>
        <v>#N/A</v>
      </c>
      <c r="AU168" t="e">
        <f t="shared" si="43"/>
        <v>#N/A</v>
      </c>
      <c r="AV168" t="e">
        <f t="shared" si="43"/>
        <v>#N/A</v>
      </c>
      <c r="AW168" t="e">
        <f t="shared" si="43"/>
        <v>#N/A</v>
      </c>
      <c r="AX168" t="e">
        <f t="shared" si="43"/>
        <v>#N/A</v>
      </c>
      <c r="AY168" t="e">
        <f t="shared" si="43"/>
        <v>#N/A</v>
      </c>
      <c r="AZ168" s="13" t="e">
        <f t="shared" si="43"/>
        <v>#N/A</v>
      </c>
      <c r="BB168">
        <v>1002</v>
      </c>
    </row>
    <row r="169" spans="2:54" x14ac:dyDescent="0.45">
      <c r="B169" s="7">
        <v>11</v>
      </c>
      <c r="C169" s="13">
        <v>152</v>
      </c>
      <c r="D169">
        <v>5</v>
      </c>
      <c r="E169">
        <v>1</v>
      </c>
      <c r="F169">
        <f t="shared" si="36"/>
        <v>1</v>
      </c>
      <c r="G169">
        <v>142</v>
      </c>
      <c r="H169" s="13">
        <f t="shared" ca="1" si="37"/>
        <v>159</v>
      </c>
      <c r="I169">
        <f t="shared" ca="1" si="40"/>
        <v>957</v>
      </c>
      <c r="J169">
        <f t="shared" ca="1" si="38"/>
        <v>940</v>
      </c>
      <c r="K169">
        <f t="shared" ca="1" si="41"/>
        <v>0</v>
      </c>
      <c r="L169">
        <f t="shared" ca="1" si="42"/>
        <v>159</v>
      </c>
      <c r="M169" s="13" t="str">
        <f t="shared" si="31"/>
        <v/>
      </c>
      <c r="N169">
        <f t="shared" ca="1" si="39"/>
        <v>0</v>
      </c>
      <c r="AT169" s="12" t="e">
        <f t="shared" si="43"/>
        <v>#N/A</v>
      </c>
      <c r="AU169" t="e">
        <f t="shared" si="43"/>
        <v>#N/A</v>
      </c>
      <c r="AV169" t="e">
        <f t="shared" si="43"/>
        <v>#N/A</v>
      </c>
      <c r="AW169" t="e">
        <f t="shared" si="43"/>
        <v>#N/A</v>
      </c>
      <c r="AX169" t="e">
        <f t="shared" si="43"/>
        <v>#N/A</v>
      </c>
      <c r="AY169" t="e">
        <f t="shared" si="43"/>
        <v>#N/A</v>
      </c>
      <c r="AZ169" s="13" t="e">
        <f t="shared" si="43"/>
        <v>#N/A</v>
      </c>
      <c r="BB169">
        <v>989</v>
      </c>
    </row>
    <row r="170" spans="2:54" x14ac:dyDescent="0.45">
      <c r="B170" s="7">
        <v>11</v>
      </c>
      <c r="C170" s="13">
        <v>153</v>
      </c>
      <c r="D170">
        <v>6</v>
      </c>
      <c r="E170">
        <v>0</v>
      </c>
      <c r="F170">
        <f t="shared" si="36"/>
        <v>0</v>
      </c>
      <c r="G170">
        <v>0</v>
      </c>
      <c r="H170" s="13">
        <f t="shared" ca="1" si="37"/>
        <v>0</v>
      </c>
      <c r="I170">
        <f t="shared" ca="1" si="40"/>
        <v>940</v>
      </c>
      <c r="J170">
        <f t="shared" ca="1" si="38"/>
        <v>940</v>
      </c>
      <c r="K170">
        <f t="shared" ca="1" si="41"/>
        <v>0</v>
      </c>
      <c r="L170" t="str">
        <f t="shared" ca="1" si="42"/>
        <v/>
      </c>
      <c r="M170" s="13" t="str">
        <f t="shared" si="31"/>
        <v/>
      </c>
      <c r="N170">
        <f t="shared" ca="1" si="39"/>
        <v>0</v>
      </c>
      <c r="AT170" s="12" t="e">
        <f t="shared" si="43"/>
        <v>#N/A</v>
      </c>
      <c r="AU170" t="e">
        <f t="shared" si="43"/>
        <v>#N/A</v>
      </c>
      <c r="AV170" t="e">
        <f t="shared" si="43"/>
        <v>#N/A</v>
      </c>
      <c r="AW170" t="e">
        <f t="shared" si="43"/>
        <v>#N/A</v>
      </c>
      <c r="AX170" t="e">
        <f t="shared" si="43"/>
        <v>#N/A</v>
      </c>
      <c r="AY170" t="e">
        <f t="shared" si="43"/>
        <v>#N/A</v>
      </c>
      <c r="AZ170" s="13" t="e">
        <f t="shared" si="43"/>
        <v>#N/A</v>
      </c>
      <c r="BB170">
        <v>989</v>
      </c>
    </row>
    <row r="171" spans="2:54" x14ac:dyDescent="0.45">
      <c r="B171" s="7">
        <v>11</v>
      </c>
      <c r="C171" s="13">
        <v>154</v>
      </c>
      <c r="D171" s="15">
        <v>7</v>
      </c>
      <c r="E171" s="15">
        <v>0</v>
      </c>
      <c r="F171">
        <f t="shared" si="36"/>
        <v>0</v>
      </c>
      <c r="G171" s="15">
        <v>0</v>
      </c>
      <c r="H171" s="13">
        <f t="shared" ca="1" si="37"/>
        <v>0</v>
      </c>
      <c r="I171">
        <f t="shared" ca="1" si="40"/>
        <v>940</v>
      </c>
      <c r="J171">
        <f t="shared" ca="1" si="38"/>
        <v>940</v>
      </c>
      <c r="K171">
        <f t="shared" ca="1" si="41"/>
        <v>0</v>
      </c>
      <c r="L171" t="str">
        <f t="shared" ca="1" si="42"/>
        <v/>
      </c>
      <c r="M171" s="13">
        <f t="shared" ca="1" si="31"/>
        <v>351</v>
      </c>
      <c r="N171">
        <f t="shared" ca="1" si="39"/>
        <v>24</v>
      </c>
      <c r="AT171" s="12" t="e">
        <f t="shared" si="43"/>
        <v>#N/A</v>
      </c>
      <c r="AU171" t="e">
        <f t="shared" si="43"/>
        <v>#N/A</v>
      </c>
      <c r="AV171" t="e">
        <f t="shared" si="43"/>
        <v>#N/A</v>
      </c>
      <c r="AW171" t="e">
        <f t="shared" si="43"/>
        <v>#N/A</v>
      </c>
      <c r="AX171" t="e">
        <f t="shared" si="43"/>
        <v>#N/A</v>
      </c>
      <c r="AY171" t="e">
        <f t="shared" si="43"/>
        <v>#N/A</v>
      </c>
      <c r="AZ171" s="13" t="e">
        <f t="shared" si="43"/>
        <v>#N/A</v>
      </c>
      <c r="BB171">
        <v>989</v>
      </c>
    </row>
    <row r="172" spans="2:54" x14ac:dyDescent="0.45">
      <c r="B172" s="11">
        <v>12</v>
      </c>
      <c r="C172" s="13">
        <v>155</v>
      </c>
      <c r="D172" s="8">
        <v>1</v>
      </c>
      <c r="E172" s="8">
        <v>1</v>
      </c>
      <c r="F172">
        <f t="shared" si="36"/>
        <v>1</v>
      </c>
      <c r="G172" s="8">
        <v>155</v>
      </c>
      <c r="H172" s="13">
        <f t="shared" ca="1" si="37"/>
        <v>131</v>
      </c>
      <c r="I172">
        <f t="shared" ca="1" si="40"/>
        <v>940</v>
      </c>
      <c r="J172">
        <f t="shared" ca="1" si="38"/>
        <v>964</v>
      </c>
      <c r="K172">
        <f t="shared" ca="1" si="41"/>
        <v>0</v>
      </c>
      <c r="L172">
        <f t="shared" ca="1" si="42"/>
        <v>131</v>
      </c>
      <c r="M172" s="13" t="str">
        <f t="shared" si="31"/>
        <v/>
      </c>
      <c r="N172">
        <f t="shared" ca="1" si="39"/>
        <v>8</v>
      </c>
      <c r="AT172" s="12" t="e">
        <f t="shared" si="43"/>
        <v>#N/A</v>
      </c>
      <c r="AU172" t="e">
        <f t="shared" si="43"/>
        <v>#N/A</v>
      </c>
      <c r="AV172" t="e">
        <f t="shared" si="43"/>
        <v>#N/A</v>
      </c>
      <c r="AW172" t="e">
        <f t="shared" si="43"/>
        <v>#N/A</v>
      </c>
      <c r="AX172" t="e">
        <f t="shared" si="43"/>
        <v>#N/A</v>
      </c>
      <c r="AY172" t="e">
        <f t="shared" si="43"/>
        <v>#N/A</v>
      </c>
      <c r="AZ172" s="13" t="e">
        <f t="shared" si="43"/>
        <v>#N/A</v>
      </c>
      <c r="BB172">
        <v>989</v>
      </c>
    </row>
    <row r="173" spans="2:54" x14ac:dyDescent="0.45">
      <c r="B173" s="11">
        <v>12</v>
      </c>
      <c r="C173" s="13">
        <v>156</v>
      </c>
      <c r="D173">
        <v>2</v>
      </c>
      <c r="E173">
        <v>1</v>
      </c>
      <c r="F173">
        <f t="shared" si="36"/>
        <v>1</v>
      </c>
      <c r="G173">
        <v>157</v>
      </c>
      <c r="H173" s="13">
        <f t="shared" ca="1" si="37"/>
        <v>149</v>
      </c>
      <c r="I173">
        <f t="shared" ca="1" si="40"/>
        <v>964</v>
      </c>
      <c r="J173">
        <f t="shared" ca="1" si="38"/>
        <v>972</v>
      </c>
      <c r="K173">
        <f t="shared" ca="1" si="41"/>
        <v>0</v>
      </c>
      <c r="L173">
        <f t="shared" ca="1" si="42"/>
        <v>149</v>
      </c>
      <c r="M173" s="13" t="str">
        <f t="shared" si="31"/>
        <v/>
      </c>
      <c r="N173">
        <f t="shared" ca="1" si="39"/>
        <v>43</v>
      </c>
      <c r="AT173" s="12" t="e">
        <f t="shared" si="43"/>
        <v>#N/A</v>
      </c>
      <c r="AU173" t="e">
        <f t="shared" si="43"/>
        <v>#N/A</v>
      </c>
      <c r="AV173" t="e">
        <f t="shared" si="43"/>
        <v>#N/A</v>
      </c>
      <c r="AW173" t="e">
        <f t="shared" si="43"/>
        <v>#N/A</v>
      </c>
      <c r="AX173" t="e">
        <f t="shared" si="43"/>
        <v>#N/A</v>
      </c>
      <c r="AY173" t="e">
        <f t="shared" si="43"/>
        <v>#N/A</v>
      </c>
      <c r="AZ173" s="13" t="e">
        <f t="shared" si="43"/>
        <v>#N/A</v>
      </c>
      <c r="BB173">
        <v>991</v>
      </c>
    </row>
    <row r="174" spans="2:54" x14ac:dyDescent="0.45">
      <c r="B174" s="11">
        <v>12</v>
      </c>
      <c r="C174" s="13">
        <v>157</v>
      </c>
      <c r="D174">
        <v>3</v>
      </c>
      <c r="E174">
        <v>1</v>
      </c>
      <c r="F174">
        <f t="shared" si="36"/>
        <v>1</v>
      </c>
      <c r="G174">
        <v>178</v>
      </c>
      <c r="H174" s="13">
        <f t="shared" ca="1" si="37"/>
        <v>135</v>
      </c>
      <c r="I174">
        <f t="shared" ca="1" si="40"/>
        <v>972</v>
      </c>
      <c r="J174">
        <f t="shared" ca="1" si="38"/>
        <v>1015</v>
      </c>
      <c r="K174">
        <f t="shared" ca="1" si="41"/>
        <v>0</v>
      </c>
      <c r="L174">
        <f t="shared" ca="1" si="42"/>
        <v>135</v>
      </c>
      <c r="M174" s="13" t="str">
        <f t="shared" ref="M174:M213" si="44">IF(B175&lt;&gt;B174,J174-I147,"")</f>
        <v/>
      </c>
      <c r="N174">
        <f t="shared" ca="1" si="39"/>
        <v>32</v>
      </c>
      <c r="AT174" s="12" t="e">
        <f t="shared" si="43"/>
        <v>#N/A</v>
      </c>
      <c r="AU174" t="e">
        <f t="shared" si="43"/>
        <v>#N/A</v>
      </c>
      <c r="AV174" t="e">
        <f t="shared" si="43"/>
        <v>#N/A</v>
      </c>
      <c r="AW174" t="e">
        <f t="shared" si="43"/>
        <v>#N/A</v>
      </c>
      <c r="AX174" t="e">
        <f t="shared" si="43"/>
        <v>#N/A</v>
      </c>
      <c r="AY174" t="e">
        <f t="shared" si="43"/>
        <v>#N/A</v>
      </c>
      <c r="AZ174" s="13" t="e">
        <f t="shared" si="43"/>
        <v>#N/A</v>
      </c>
      <c r="BB174">
        <v>1014</v>
      </c>
    </row>
    <row r="175" spans="2:54" x14ac:dyDescent="0.45">
      <c r="B175" s="11">
        <v>12</v>
      </c>
      <c r="C175" s="13">
        <v>158</v>
      </c>
      <c r="D175">
        <v>4</v>
      </c>
      <c r="E175">
        <v>1</v>
      </c>
      <c r="F175">
        <f t="shared" si="36"/>
        <v>1</v>
      </c>
      <c r="G175">
        <v>167</v>
      </c>
      <c r="H175" s="13">
        <f t="shared" ca="1" si="37"/>
        <v>135</v>
      </c>
      <c r="I175">
        <f t="shared" ca="1" si="40"/>
        <v>1015</v>
      </c>
      <c r="J175">
        <f t="shared" ca="1" si="38"/>
        <v>1047</v>
      </c>
      <c r="K175">
        <f t="shared" ca="1" si="41"/>
        <v>0</v>
      </c>
      <c r="L175">
        <f t="shared" ca="1" si="42"/>
        <v>135</v>
      </c>
      <c r="M175" s="13" t="str">
        <f t="shared" si="44"/>
        <v/>
      </c>
      <c r="N175">
        <f t="shared" ca="1" si="39"/>
        <v>20</v>
      </c>
      <c r="AT175" s="12" t="e">
        <f t="shared" si="43"/>
        <v>#N/A</v>
      </c>
      <c r="AU175" t="e">
        <f t="shared" si="43"/>
        <v>#N/A</v>
      </c>
      <c r="AV175" t="e">
        <f t="shared" si="43"/>
        <v>#N/A</v>
      </c>
      <c r="AW175" t="e">
        <f t="shared" si="43"/>
        <v>#N/A</v>
      </c>
      <c r="AX175" t="e">
        <f t="shared" si="43"/>
        <v>#N/A</v>
      </c>
      <c r="AY175" t="e">
        <f t="shared" si="43"/>
        <v>#N/A</v>
      </c>
      <c r="AZ175" s="13" t="e">
        <f t="shared" si="43"/>
        <v>#N/A</v>
      </c>
      <c r="BB175">
        <v>1026</v>
      </c>
    </row>
    <row r="176" spans="2:54" x14ac:dyDescent="0.45">
      <c r="B176" s="11">
        <v>12</v>
      </c>
      <c r="C176" s="13">
        <v>159</v>
      </c>
      <c r="D176">
        <v>5</v>
      </c>
      <c r="E176">
        <v>1</v>
      </c>
      <c r="F176">
        <f t="shared" si="36"/>
        <v>1</v>
      </c>
      <c r="G176">
        <v>168</v>
      </c>
      <c r="H176" s="13">
        <f t="shared" ca="1" si="37"/>
        <v>148</v>
      </c>
      <c r="I176">
        <f t="shared" ca="1" si="40"/>
        <v>1047</v>
      </c>
      <c r="J176">
        <f t="shared" ca="1" si="38"/>
        <v>1067</v>
      </c>
      <c r="K176">
        <f t="shared" ca="1" si="41"/>
        <v>0</v>
      </c>
      <c r="L176">
        <f t="shared" ca="1" si="42"/>
        <v>148</v>
      </c>
      <c r="M176" s="13" t="str">
        <f t="shared" si="44"/>
        <v/>
      </c>
      <c r="N176">
        <f t="shared" ca="1" si="39"/>
        <v>0</v>
      </c>
      <c r="AT176" s="12" t="e">
        <f t="shared" si="43"/>
        <v>#N/A</v>
      </c>
      <c r="AU176" t="e">
        <f t="shared" si="43"/>
        <v>#N/A</v>
      </c>
      <c r="AV176" t="e">
        <f t="shared" si="43"/>
        <v>#N/A</v>
      </c>
      <c r="AW176" t="e">
        <f t="shared" si="43"/>
        <v>#N/A</v>
      </c>
      <c r="AX176" t="e">
        <f t="shared" si="43"/>
        <v>#N/A</v>
      </c>
      <c r="AY176" t="e">
        <f t="shared" si="43"/>
        <v>#N/A</v>
      </c>
      <c r="AZ176" s="13" t="e">
        <f t="shared" si="43"/>
        <v>#N/A</v>
      </c>
      <c r="BB176">
        <v>1039</v>
      </c>
    </row>
    <row r="177" spans="2:54" x14ac:dyDescent="0.45">
      <c r="B177" s="11">
        <v>12</v>
      </c>
      <c r="C177" s="13">
        <v>160</v>
      </c>
      <c r="D177">
        <v>6</v>
      </c>
      <c r="E177">
        <v>0</v>
      </c>
      <c r="F177">
        <f t="shared" si="36"/>
        <v>0</v>
      </c>
      <c r="G177">
        <v>0</v>
      </c>
      <c r="H177" s="13">
        <f t="shared" ca="1" si="37"/>
        <v>0</v>
      </c>
      <c r="I177">
        <f t="shared" ca="1" si="40"/>
        <v>1067</v>
      </c>
      <c r="J177">
        <f t="shared" ca="1" si="38"/>
        <v>1067</v>
      </c>
      <c r="K177">
        <f t="shared" ca="1" si="41"/>
        <v>0</v>
      </c>
      <c r="L177" t="str">
        <f t="shared" ca="1" si="42"/>
        <v/>
      </c>
      <c r="M177" s="13" t="str">
        <f t="shared" si="44"/>
        <v/>
      </c>
      <c r="N177">
        <f t="shared" ca="1" si="39"/>
        <v>0</v>
      </c>
      <c r="AT177" s="12" t="e">
        <f t="shared" si="43"/>
        <v>#N/A</v>
      </c>
      <c r="AU177" t="e">
        <f t="shared" si="43"/>
        <v>#N/A</v>
      </c>
      <c r="AV177" t="e">
        <f t="shared" si="43"/>
        <v>#N/A</v>
      </c>
      <c r="AW177" t="e">
        <f t="shared" si="43"/>
        <v>#N/A</v>
      </c>
      <c r="AX177" t="e">
        <f t="shared" si="43"/>
        <v>#N/A</v>
      </c>
      <c r="AY177" t="e">
        <f t="shared" si="43"/>
        <v>#N/A</v>
      </c>
      <c r="AZ177" s="13" t="e">
        <f t="shared" si="43"/>
        <v>#N/A</v>
      </c>
      <c r="BB177">
        <v>1039</v>
      </c>
    </row>
    <row r="178" spans="2:54" x14ac:dyDescent="0.45">
      <c r="B178" s="11">
        <v>12</v>
      </c>
      <c r="C178" s="13">
        <v>161</v>
      </c>
      <c r="D178" s="15">
        <v>7</v>
      </c>
      <c r="E178" s="15">
        <v>0</v>
      </c>
      <c r="F178">
        <f t="shared" si="36"/>
        <v>0</v>
      </c>
      <c r="G178" s="15">
        <v>0</v>
      </c>
      <c r="H178" s="13">
        <f t="shared" ca="1" si="37"/>
        <v>0</v>
      </c>
      <c r="I178">
        <f t="shared" ca="1" si="40"/>
        <v>1067</v>
      </c>
      <c r="J178">
        <f t="shared" ca="1" si="38"/>
        <v>1067</v>
      </c>
      <c r="K178">
        <f t="shared" ca="1" si="41"/>
        <v>0</v>
      </c>
      <c r="L178" t="str">
        <f t="shared" ca="1" si="42"/>
        <v/>
      </c>
      <c r="M178" s="13" t="str">
        <f t="shared" si="44"/>
        <v/>
      </c>
      <c r="N178">
        <f t="shared" ca="1" si="39"/>
        <v>47</v>
      </c>
      <c r="AT178" s="12" t="e">
        <f t="shared" ref="AT178:AZ193" si="45">IF($B178=AT$17,$J178,NA())</f>
        <v>#N/A</v>
      </c>
      <c r="AU178" t="e">
        <f t="shared" si="45"/>
        <v>#N/A</v>
      </c>
      <c r="AV178" t="e">
        <f t="shared" si="45"/>
        <v>#N/A</v>
      </c>
      <c r="AW178" t="e">
        <f t="shared" si="45"/>
        <v>#N/A</v>
      </c>
      <c r="AX178" t="e">
        <f t="shared" si="45"/>
        <v>#N/A</v>
      </c>
      <c r="AY178" t="e">
        <f t="shared" si="45"/>
        <v>#N/A</v>
      </c>
      <c r="AZ178" s="13" t="e">
        <f t="shared" si="45"/>
        <v>#N/A</v>
      </c>
      <c r="BB178">
        <v>1039</v>
      </c>
    </row>
    <row r="179" spans="2:54" x14ac:dyDescent="0.45">
      <c r="B179" s="11">
        <v>12</v>
      </c>
      <c r="C179" s="13">
        <v>162</v>
      </c>
      <c r="D179" s="8">
        <v>1</v>
      </c>
      <c r="E179" s="8">
        <v>1</v>
      </c>
      <c r="F179">
        <f t="shared" si="36"/>
        <v>1</v>
      </c>
      <c r="G179" s="8">
        <v>170</v>
      </c>
      <c r="H179" s="13">
        <f t="shared" ref="H179:H210" ca="1" si="46">IF(F179=1,MIN(I179,RANDBETWEEN(lower,upper)),0)</f>
        <v>123</v>
      </c>
      <c r="I179">
        <f t="shared" ca="1" si="40"/>
        <v>1067</v>
      </c>
      <c r="J179">
        <f t="shared" ca="1" si="38"/>
        <v>1114</v>
      </c>
      <c r="K179">
        <f t="shared" ca="1" si="41"/>
        <v>0</v>
      </c>
      <c r="L179">
        <f t="shared" ca="1" si="42"/>
        <v>123</v>
      </c>
      <c r="M179" s="13" t="str">
        <f t="shared" si="44"/>
        <v/>
      </c>
      <c r="N179">
        <f t="shared" ca="1" si="39"/>
        <v>1</v>
      </c>
      <c r="AT179" s="12" t="e">
        <f t="shared" si="45"/>
        <v>#N/A</v>
      </c>
      <c r="AU179" t="e">
        <f t="shared" si="45"/>
        <v>#N/A</v>
      </c>
      <c r="AV179" t="e">
        <f t="shared" si="45"/>
        <v>#N/A</v>
      </c>
      <c r="AW179" t="e">
        <f t="shared" si="45"/>
        <v>#N/A</v>
      </c>
      <c r="AX179" t="e">
        <f t="shared" si="45"/>
        <v>#N/A</v>
      </c>
      <c r="AY179" t="e">
        <f t="shared" si="45"/>
        <v>#N/A</v>
      </c>
      <c r="AZ179" s="13" t="e">
        <f t="shared" si="45"/>
        <v>#N/A</v>
      </c>
      <c r="BB179">
        <v>1054</v>
      </c>
    </row>
    <row r="180" spans="2:54" x14ac:dyDescent="0.45">
      <c r="B180" s="11">
        <v>12</v>
      </c>
      <c r="C180" s="13">
        <v>163</v>
      </c>
      <c r="D180">
        <v>2</v>
      </c>
      <c r="E180">
        <v>1</v>
      </c>
      <c r="F180">
        <f t="shared" si="36"/>
        <v>1</v>
      </c>
      <c r="G180">
        <v>159</v>
      </c>
      <c r="H180" s="13">
        <f t="shared" ca="1" si="46"/>
        <v>158</v>
      </c>
      <c r="I180">
        <f t="shared" ca="1" si="40"/>
        <v>1114</v>
      </c>
      <c r="J180">
        <f t="shared" ca="1" si="38"/>
        <v>1115</v>
      </c>
      <c r="K180">
        <f t="shared" ca="1" si="41"/>
        <v>0</v>
      </c>
      <c r="L180">
        <f t="shared" ca="1" si="42"/>
        <v>158</v>
      </c>
      <c r="M180" s="13" t="str">
        <f t="shared" si="44"/>
        <v/>
      </c>
      <c r="N180">
        <f t="shared" ca="1" si="39"/>
        <v>21</v>
      </c>
      <c r="AT180" s="12" t="e">
        <f t="shared" si="45"/>
        <v>#N/A</v>
      </c>
      <c r="AU180" t="e">
        <f t="shared" si="45"/>
        <v>#N/A</v>
      </c>
      <c r="AV180" t="e">
        <f t="shared" si="45"/>
        <v>#N/A</v>
      </c>
      <c r="AW180" t="e">
        <f t="shared" si="45"/>
        <v>#N/A</v>
      </c>
      <c r="AX180" t="e">
        <f t="shared" si="45"/>
        <v>#N/A</v>
      </c>
      <c r="AY180" t="e">
        <f t="shared" si="45"/>
        <v>#N/A</v>
      </c>
      <c r="AZ180" s="13" t="e">
        <f t="shared" si="45"/>
        <v>#N/A</v>
      </c>
      <c r="BB180">
        <v>1058</v>
      </c>
    </row>
    <row r="181" spans="2:54" x14ac:dyDescent="0.45">
      <c r="B181" s="11">
        <v>12</v>
      </c>
      <c r="C181" s="13">
        <v>164</v>
      </c>
      <c r="D181">
        <v>3</v>
      </c>
      <c r="E181">
        <v>1</v>
      </c>
      <c r="F181">
        <f t="shared" si="36"/>
        <v>1</v>
      </c>
      <c r="G181">
        <v>163</v>
      </c>
      <c r="H181" s="13">
        <f t="shared" ca="1" si="46"/>
        <v>142</v>
      </c>
      <c r="I181">
        <f t="shared" ca="1" si="40"/>
        <v>1115</v>
      </c>
      <c r="J181">
        <f t="shared" ca="1" si="38"/>
        <v>1136</v>
      </c>
      <c r="K181">
        <f t="shared" ca="1" si="41"/>
        <v>0</v>
      </c>
      <c r="L181">
        <f t="shared" ca="1" si="42"/>
        <v>142</v>
      </c>
      <c r="M181" s="13" t="str">
        <f t="shared" si="44"/>
        <v/>
      </c>
      <c r="N181">
        <f t="shared" ca="1" si="39"/>
        <v>42</v>
      </c>
      <c r="AT181" s="12" t="e">
        <f t="shared" si="45"/>
        <v>#N/A</v>
      </c>
      <c r="AU181" t="e">
        <f t="shared" si="45"/>
        <v>#N/A</v>
      </c>
      <c r="AV181" t="e">
        <f t="shared" si="45"/>
        <v>#N/A</v>
      </c>
      <c r="AW181" t="e">
        <f t="shared" si="45"/>
        <v>#N/A</v>
      </c>
      <c r="AX181" t="e">
        <f t="shared" si="45"/>
        <v>#N/A</v>
      </c>
      <c r="AY181" t="e">
        <f t="shared" si="45"/>
        <v>#N/A</v>
      </c>
      <c r="AZ181" s="13" t="e">
        <f t="shared" si="45"/>
        <v>#N/A</v>
      </c>
      <c r="BB181">
        <v>1066</v>
      </c>
    </row>
    <row r="182" spans="2:54" x14ac:dyDescent="0.45">
      <c r="B182" s="11">
        <v>12</v>
      </c>
      <c r="C182" s="13">
        <v>165</v>
      </c>
      <c r="D182">
        <v>4</v>
      </c>
      <c r="E182">
        <v>1</v>
      </c>
      <c r="F182">
        <f t="shared" si="36"/>
        <v>1</v>
      </c>
      <c r="G182">
        <v>174</v>
      </c>
      <c r="H182" s="13">
        <f t="shared" ca="1" si="46"/>
        <v>132</v>
      </c>
      <c r="I182">
        <f t="shared" ca="1" si="40"/>
        <v>1136</v>
      </c>
      <c r="J182">
        <f t="shared" ca="1" si="38"/>
        <v>1178</v>
      </c>
      <c r="K182">
        <f t="shared" ca="1" si="41"/>
        <v>0</v>
      </c>
      <c r="L182">
        <f t="shared" ca="1" si="42"/>
        <v>132</v>
      </c>
      <c r="M182" s="13" t="str">
        <f t="shared" si="44"/>
        <v/>
      </c>
      <c r="N182">
        <f t="shared" ca="1" si="39"/>
        <v>23</v>
      </c>
      <c r="AT182" s="12" t="e">
        <f t="shared" si="45"/>
        <v>#N/A</v>
      </c>
      <c r="AU182" t="e">
        <f t="shared" si="45"/>
        <v>#N/A</v>
      </c>
      <c r="AV182" t="e">
        <f t="shared" si="45"/>
        <v>#N/A</v>
      </c>
      <c r="AW182" t="e">
        <f t="shared" si="45"/>
        <v>#N/A</v>
      </c>
      <c r="AX182" t="e">
        <f t="shared" si="45"/>
        <v>#N/A</v>
      </c>
      <c r="AY182" t="e">
        <f t="shared" si="45"/>
        <v>#N/A</v>
      </c>
      <c r="AZ182" s="13" t="e">
        <f t="shared" si="45"/>
        <v>#N/A</v>
      </c>
      <c r="BB182">
        <v>1085</v>
      </c>
    </row>
    <row r="183" spans="2:54" x14ac:dyDescent="0.45">
      <c r="B183" s="11">
        <v>12</v>
      </c>
      <c r="C183" s="13">
        <v>166</v>
      </c>
      <c r="D183">
        <v>5</v>
      </c>
      <c r="E183">
        <v>1</v>
      </c>
      <c r="F183">
        <f t="shared" si="36"/>
        <v>1</v>
      </c>
      <c r="G183">
        <v>166</v>
      </c>
      <c r="H183" s="13">
        <f t="shared" ca="1" si="46"/>
        <v>143</v>
      </c>
      <c r="I183">
        <f t="shared" ca="1" si="40"/>
        <v>1178</v>
      </c>
      <c r="J183">
        <f t="shared" ca="1" si="38"/>
        <v>1201</v>
      </c>
      <c r="K183">
        <f t="shared" ca="1" si="41"/>
        <v>0</v>
      </c>
      <c r="L183">
        <f t="shared" ca="1" si="42"/>
        <v>143</v>
      </c>
      <c r="M183" s="13" t="str">
        <f t="shared" si="44"/>
        <v/>
      </c>
      <c r="N183">
        <f t="shared" ca="1" si="39"/>
        <v>0</v>
      </c>
      <c r="AT183" s="12" t="e">
        <f t="shared" si="45"/>
        <v>#N/A</v>
      </c>
      <c r="AU183" t="e">
        <f t="shared" si="45"/>
        <v>#N/A</v>
      </c>
      <c r="AV183" t="e">
        <f t="shared" si="45"/>
        <v>#N/A</v>
      </c>
      <c r="AW183" t="e">
        <f t="shared" si="45"/>
        <v>#N/A</v>
      </c>
      <c r="AX183" t="e">
        <f t="shared" si="45"/>
        <v>#N/A</v>
      </c>
      <c r="AY183" t="e">
        <f t="shared" si="45"/>
        <v>#N/A</v>
      </c>
      <c r="AZ183" s="13" t="e">
        <f t="shared" si="45"/>
        <v>#N/A</v>
      </c>
      <c r="BB183">
        <v>1096</v>
      </c>
    </row>
    <row r="184" spans="2:54" x14ac:dyDescent="0.45">
      <c r="B184" s="11">
        <v>12</v>
      </c>
      <c r="C184" s="13">
        <v>167</v>
      </c>
      <c r="D184">
        <v>6</v>
      </c>
      <c r="E184">
        <v>0</v>
      </c>
      <c r="F184">
        <f t="shared" si="36"/>
        <v>0</v>
      </c>
      <c r="G184">
        <v>0</v>
      </c>
      <c r="H184" s="13">
        <f t="shared" ca="1" si="46"/>
        <v>0</v>
      </c>
      <c r="I184">
        <f t="shared" ca="1" si="40"/>
        <v>1201</v>
      </c>
      <c r="J184">
        <f t="shared" ca="1" si="38"/>
        <v>1201</v>
      </c>
      <c r="K184">
        <f t="shared" ca="1" si="41"/>
        <v>0</v>
      </c>
      <c r="L184" t="str">
        <f t="shared" ca="1" si="42"/>
        <v/>
      </c>
      <c r="M184" s="13" t="str">
        <f t="shared" si="44"/>
        <v/>
      </c>
      <c r="N184">
        <f t="shared" ca="1" si="39"/>
        <v>0</v>
      </c>
      <c r="AT184" s="12" t="e">
        <f t="shared" si="45"/>
        <v>#N/A</v>
      </c>
      <c r="AU184" t="e">
        <f t="shared" si="45"/>
        <v>#N/A</v>
      </c>
      <c r="AV184" t="e">
        <f t="shared" si="45"/>
        <v>#N/A</v>
      </c>
      <c r="AW184" t="e">
        <f t="shared" si="45"/>
        <v>#N/A</v>
      </c>
      <c r="AX184" t="e">
        <f t="shared" si="45"/>
        <v>#N/A</v>
      </c>
      <c r="AY184" t="e">
        <f t="shared" si="45"/>
        <v>#N/A</v>
      </c>
      <c r="AZ184" s="13" t="e">
        <f t="shared" si="45"/>
        <v>#N/A</v>
      </c>
      <c r="BB184">
        <v>1096</v>
      </c>
    </row>
    <row r="185" spans="2:54" x14ac:dyDescent="0.45">
      <c r="B185" s="11">
        <v>12</v>
      </c>
      <c r="C185" s="13">
        <v>168</v>
      </c>
      <c r="D185" s="15">
        <v>7</v>
      </c>
      <c r="E185" s="15">
        <v>0</v>
      </c>
      <c r="F185">
        <f t="shared" si="36"/>
        <v>0</v>
      </c>
      <c r="G185" s="15">
        <v>0</v>
      </c>
      <c r="H185" s="13">
        <f t="shared" ca="1" si="46"/>
        <v>0</v>
      </c>
      <c r="I185">
        <f t="shared" ca="1" si="40"/>
        <v>1201</v>
      </c>
      <c r="J185">
        <f t="shared" ca="1" si="38"/>
        <v>1201</v>
      </c>
      <c r="K185">
        <f t="shared" ca="1" si="41"/>
        <v>0</v>
      </c>
      <c r="L185" t="str">
        <f t="shared" ca="1" si="42"/>
        <v/>
      </c>
      <c r="M185" s="13">
        <f t="shared" ca="1" si="44"/>
        <v>419</v>
      </c>
      <c r="N185">
        <f t="shared" ca="1" si="39"/>
        <v>40</v>
      </c>
      <c r="AT185" s="12" t="e">
        <f t="shared" si="45"/>
        <v>#N/A</v>
      </c>
      <c r="AU185" t="e">
        <f t="shared" si="45"/>
        <v>#N/A</v>
      </c>
      <c r="AV185" t="e">
        <f t="shared" si="45"/>
        <v>#N/A</v>
      </c>
      <c r="AW185" t="e">
        <f t="shared" si="45"/>
        <v>#N/A</v>
      </c>
      <c r="AX185" t="e">
        <f t="shared" si="45"/>
        <v>#N/A</v>
      </c>
      <c r="AY185" t="e">
        <f t="shared" si="45"/>
        <v>#N/A</v>
      </c>
      <c r="AZ185" s="13" t="e">
        <f t="shared" si="45"/>
        <v>#N/A</v>
      </c>
      <c r="BB185">
        <v>1096</v>
      </c>
    </row>
    <row r="186" spans="2:54" x14ac:dyDescent="0.45">
      <c r="B186" s="7">
        <v>13</v>
      </c>
      <c r="C186" s="13">
        <v>169</v>
      </c>
      <c r="D186" s="8">
        <v>1</v>
      </c>
      <c r="E186" s="8">
        <v>1</v>
      </c>
      <c r="F186">
        <f t="shared" si="36"/>
        <v>1</v>
      </c>
      <c r="G186" s="8">
        <v>160</v>
      </c>
      <c r="H186" s="13">
        <f t="shared" ca="1" si="46"/>
        <v>120</v>
      </c>
      <c r="I186">
        <f t="shared" ca="1" si="40"/>
        <v>1201</v>
      </c>
      <c r="J186">
        <f t="shared" ca="1" si="38"/>
        <v>1241</v>
      </c>
      <c r="K186">
        <f t="shared" ca="1" si="41"/>
        <v>0</v>
      </c>
      <c r="L186">
        <f t="shared" ca="1" si="42"/>
        <v>120</v>
      </c>
      <c r="M186" s="13" t="str">
        <f t="shared" si="44"/>
        <v/>
      </c>
      <c r="N186">
        <f t="shared" ca="1" si="39"/>
        <v>26</v>
      </c>
      <c r="AT186" s="12" t="e">
        <f t="shared" si="45"/>
        <v>#N/A</v>
      </c>
      <c r="AU186" t="e">
        <f t="shared" si="45"/>
        <v>#N/A</v>
      </c>
      <c r="AV186" t="e">
        <f t="shared" si="45"/>
        <v>#N/A</v>
      </c>
      <c r="AW186" t="e">
        <f t="shared" si="45"/>
        <v>#N/A</v>
      </c>
      <c r="AX186" t="e">
        <f t="shared" si="45"/>
        <v>#N/A</v>
      </c>
      <c r="AY186" t="e">
        <f t="shared" si="45"/>
        <v>#N/A</v>
      </c>
      <c r="AZ186" s="13" t="e">
        <f t="shared" si="45"/>
        <v>#N/A</v>
      </c>
      <c r="BB186">
        <v>1101</v>
      </c>
    </row>
    <row r="187" spans="2:54" x14ac:dyDescent="0.45">
      <c r="B187" s="7">
        <v>13</v>
      </c>
      <c r="C187" s="13">
        <v>170</v>
      </c>
      <c r="D187">
        <v>2</v>
      </c>
      <c r="E187">
        <v>1</v>
      </c>
      <c r="F187">
        <f t="shared" si="36"/>
        <v>1</v>
      </c>
      <c r="G187">
        <v>159</v>
      </c>
      <c r="H187" s="13">
        <f t="shared" ca="1" si="46"/>
        <v>133</v>
      </c>
      <c r="I187">
        <f t="shared" ca="1" si="40"/>
        <v>1241</v>
      </c>
      <c r="J187">
        <f t="shared" ca="1" si="38"/>
        <v>1267</v>
      </c>
      <c r="K187">
        <f t="shared" ca="1" si="41"/>
        <v>0</v>
      </c>
      <c r="L187">
        <f t="shared" ca="1" si="42"/>
        <v>133</v>
      </c>
      <c r="M187" s="13" t="str">
        <f t="shared" si="44"/>
        <v/>
      </c>
      <c r="N187">
        <f t="shared" ca="1" si="39"/>
        <v>28</v>
      </c>
      <c r="AT187" s="12" t="e">
        <f t="shared" si="45"/>
        <v>#N/A</v>
      </c>
      <c r="AU187" t="e">
        <f t="shared" si="45"/>
        <v>#N/A</v>
      </c>
      <c r="AV187" t="e">
        <f t="shared" si="45"/>
        <v>#N/A</v>
      </c>
      <c r="AW187" t="e">
        <f t="shared" si="45"/>
        <v>#N/A</v>
      </c>
      <c r="AX187" t="e">
        <f t="shared" si="45"/>
        <v>#N/A</v>
      </c>
      <c r="AY187" t="e">
        <f t="shared" si="45"/>
        <v>#N/A</v>
      </c>
      <c r="AZ187" s="13" t="e">
        <f t="shared" si="45"/>
        <v>#N/A</v>
      </c>
      <c r="BB187">
        <v>1105</v>
      </c>
    </row>
    <row r="188" spans="2:54" x14ac:dyDescent="0.45">
      <c r="B188" s="7">
        <v>13</v>
      </c>
      <c r="C188" s="13">
        <v>171</v>
      </c>
      <c r="D188">
        <v>3</v>
      </c>
      <c r="E188">
        <v>1</v>
      </c>
      <c r="F188">
        <f t="shared" si="36"/>
        <v>1</v>
      </c>
      <c r="G188">
        <v>152</v>
      </c>
      <c r="H188" s="13">
        <f t="shared" ca="1" si="46"/>
        <v>124</v>
      </c>
      <c r="I188">
        <f t="shared" ca="1" si="40"/>
        <v>1267</v>
      </c>
      <c r="J188">
        <f t="shared" ca="1" si="38"/>
        <v>1295</v>
      </c>
      <c r="K188">
        <f t="shared" ca="1" si="41"/>
        <v>0</v>
      </c>
      <c r="L188">
        <f t="shared" ca="1" si="42"/>
        <v>124</v>
      </c>
      <c r="M188" s="13" t="str">
        <f t="shared" si="44"/>
        <v/>
      </c>
      <c r="N188">
        <f t="shared" ca="1" si="39"/>
        <v>12</v>
      </c>
      <c r="AT188" s="12" t="e">
        <f t="shared" si="45"/>
        <v>#N/A</v>
      </c>
      <c r="AU188" t="e">
        <f t="shared" si="45"/>
        <v>#N/A</v>
      </c>
      <c r="AV188" t="e">
        <f t="shared" si="45"/>
        <v>#N/A</v>
      </c>
      <c r="AW188" t="e">
        <f t="shared" si="45"/>
        <v>#N/A</v>
      </c>
      <c r="AX188" t="e">
        <f t="shared" si="45"/>
        <v>#N/A</v>
      </c>
      <c r="AY188" t="e">
        <f t="shared" si="45"/>
        <v>#N/A</v>
      </c>
      <c r="AZ188" s="13" t="e">
        <f t="shared" si="45"/>
        <v>#N/A</v>
      </c>
      <c r="BB188">
        <v>1102</v>
      </c>
    </row>
    <row r="189" spans="2:54" x14ac:dyDescent="0.45">
      <c r="B189" s="7">
        <v>13</v>
      </c>
      <c r="C189" s="13">
        <v>172</v>
      </c>
      <c r="D189">
        <v>4</v>
      </c>
      <c r="E189">
        <v>1</v>
      </c>
      <c r="F189">
        <f t="shared" si="36"/>
        <v>1</v>
      </c>
      <c r="G189">
        <v>157</v>
      </c>
      <c r="H189" s="13">
        <f t="shared" ca="1" si="46"/>
        <v>145</v>
      </c>
      <c r="I189">
        <f t="shared" ca="1" si="40"/>
        <v>1295</v>
      </c>
      <c r="J189">
        <f t="shared" ca="1" si="38"/>
        <v>1307</v>
      </c>
      <c r="K189">
        <f t="shared" ca="1" si="41"/>
        <v>0</v>
      </c>
      <c r="L189">
        <f t="shared" ca="1" si="42"/>
        <v>145</v>
      </c>
      <c r="M189" s="13" t="str">
        <f t="shared" si="44"/>
        <v/>
      </c>
      <c r="N189">
        <f t="shared" ca="1" si="39"/>
        <v>17</v>
      </c>
      <c r="AT189" s="12" t="e">
        <f t="shared" si="45"/>
        <v>#N/A</v>
      </c>
      <c r="AU189" t="e">
        <f t="shared" si="45"/>
        <v>#N/A</v>
      </c>
      <c r="AV189" t="e">
        <f t="shared" si="45"/>
        <v>#N/A</v>
      </c>
      <c r="AW189" t="e">
        <f t="shared" si="45"/>
        <v>#N/A</v>
      </c>
      <c r="AX189" t="e">
        <f t="shared" si="45"/>
        <v>#N/A</v>
      </c>
      <c r="AY189" t="e">
        <f t="shared" si="45"/>
        <v>#N/A</v>
      </c>
      <c r="AZ189" s="13" t="e">
        <f t="shared" si="45"/>
        <v>#N/A</v>
      </c>
      <c r="BB189">
        <v>1104</v>
      </c>
    </row>
    <row r="190" spans="2:54" x14ac:dyDescent="0.45">
      <c r="B190" s="7">
        <v>13</v>
      </c>
      <c r="C190" s="13">
        <v>173</v>
      </c>
      <c r="D190">
        <v>5</v>
      </c>
      <c r="E190">
        <v>1</v>
      </c>
      <c r="F190">
        <f t="shared" si="36"/>
        <v>1</v>
      </c>
      <c r="G190">
        <v>159</v>
      </c>
      <c r="H190" s="13">
        <f t="shared" ca="1" si="46"/>
        <v>142</v>
      </c>
      <c r="I190">
        <f t="shared" ca="1" si="40"/>
        <v>1307</v>
      </c>
      <c r="J190">
        <f t="shared" ca="1" si="38"/>
        <v>1324</v>
      </c>
      <c r="K190">
        <f t="shared" ca="1" si="41"/>
        <v>0</v>
      </c>
      <c r="L190">
        <f t="shared" ca="1" si="42"/>
        <v>142</v>
      </c>
      <c r="M190" s="13" t="str">
        <f t="shared" si="44"/>
        <v/>
      </c>
      <c r="N190">
        <f t="shared" ca="1" si="39"/>
        <v>0</v>
      </c>
      <c r="AT190" s="12" t="e">
        <f t="shared" si="45"/>
        <v>#N/A</v>
      </c>
      <c r="AU190" t="e">
        <f t="shared" si="45"/>
        <v>#N/A</v>
      </c>
      <c r="AV190" t="e">
        <f t="shared" si="45"/>
        <v>#N/A</v>
      </c>
      <c r="AW190" t="e">
        <f t="shared" si="45"/>
        <v>#N/A</v>
      </c>
      <c r="AX190" t="e">
        <f t="shared" si="45"/>
        <v>#N/A</v>
      </c>
      <c r="AY190" t="e">
        <f t="shared" si="45"/>
        <v>#N/A</v>
      </c>
      <c r="AZ190" s="13" t="e">
        <f t="shared" si="45"/>
        <v>#N/A</v>
      </c>
      <c r="BB190">
        <v>1108</v>
      </c>
    </row>
    <row r="191" spans="2:54" x14ac:dyDescent="0.45">
      <c r="B191" s="7">
        <v>13</v>
      </c>
      <c r="C191" s="13">
        <v>174</v>
      </c>
      <c r="D191">
        <v>6</v>
      </c>
      <c r="E191">
        <v>0</v>
      </c>
      <c r="F191">
        <f t="shared" si="36"/>
        <v>0</v>
      </c>
      <c r="G191">
        <v>0</v>
      </c>
      <c r="H191" s="13">
        <f t="shared" ca="1" si="46"/>
        <v>0</v>
      </c>
      <c r="I191">
        <f t="shared" ca="1" si="40"/>
        <v>1324</v>
      </c>
      <c r="J191">
        <f t="shared" ca="1" si="38"/>
        <v>1324</v>
      </c>
      <c r="K191">
        <f t="shared" ca="1" si="41"/>
        <v>0</v>
      </c>
      <c r="L191" t="str">
        <f t="shared" ca="1" si="42"/>
        <v/>
      </c>
      <c r="M191" s="13" t="str">
        <f t="shared" si="44"/>
        <v/>
      </c>
      <c r="N191">
        <f t="shared" ca="1" si="39"/>
        <v>0</v>
      </c>
      <c r="AT191" s="12" t="e">
        <f t="shared" si="45"/>
        <v>#N/A</v>
      </c>
      <c r="AU191" t="e">
        <f t="shared" si="45"/>
        <v>#N/A</v>
      </c>
      <c r="AV191" t="e">
        <f t="shared" si="45"/>
        <v>#N/A</v>
      </c>
      <c r="AW191" t="e">
        <f t="shared" si="45"/>
        <v>#N/A</v>
      </c>
      <c r="AX191" t="e">
        <f t="shared" si="45"/>
        <v>#N/A</v>
      </c>
      <c r="AY191" t="e">
        <f t="shared" si="45"/>
        <v>#N/A</v>
      </c>
      <c r="AZ191" s="13" t="e">
        <f t="shared" si="45"/>
        <v>#N/A</v>
      </c>
      <c r="BB191">
        <v>953</v>
      </c>
    </row>
    <row r="192" spans="2:54" x14ac:dyDescent="0.45">
      <c r="B192" s="7">
        <v>13</v>
      </c>
      <c r="C192" s="13">
        <v>175</v>
      </c>
      <c r="D192" s="15">
        <v>7</v>
      </c>
      <c r="E192" s="15">
        <v>0</v>
      </c>
      <c r="F192">
        <f t="shared" si="36"/>
        <v>0</v>
      </c>
      <c r="G192" s="15">
        <v>0</v>
      </c>
      <c r="H192" s="13">
        <f t="shared" ca="1" si="46"/>
        <v>0</v>
      </c>
      <c r="I192">
        <f t="shared" ca="1" si="40"/>
        <v>1324</v>
      </c>
      <c r="J192">
        <f t="shared" ca="1" si="38"/>
        <v>1324</v>
      </c>
      <c r="K192">
        <f t="shared" ca="1" si="41"/>
        <v>0</v>
      </c>
      <c r="L192" t="str">
        <f t="shared" ca="1" si="42"/>
        <v/>
      </c>
      <c r="M192" s="13" t="str">
        <f t="shared" si="44"/>
        <v/>
      </c>
      <c r="N192">
        <f t="shared" ca="1" si="39"/>
        <v>7</v>
      </c>
      <c r="AT192" s="12" t="e">
        <f t="shared" si="45"/>
        <v>#N/A</v>
      </c>
      <c r="AU192" t="e">
        <f t="shared" si="45"/>
        <v>#N/A</v>
      </c>
      <c r="AV192" t="e">
        <f t="shared" si="45"/>
        <v>#N/A</v>
      </c>
      <c r="AW192" t="e">
        <f t="shared" si="45"/>
        <v>#N/A</v>
      </c>
      <c r="AX192" t="e">
        <f t="shared" si="45"/>
        <v>#N/A</v>
      </c>
      <c r="AY192" t="e">
        <f t="shared" si="45"/>
        <v>#N/A</v>
      </c>
      <c r="AZ192" s="13" t="e">
        <f t="shared" si="45"/>
        <v>#N/A</v>
      </c>
      <c r="BB192">
        <v>953</v>
      </c>
    </row>
    <row r="193" spans="2:54" x14ac:dyDescent="0.45">
      <c r="B193" s="7">
        <v>13</v>
      </c>
      <c r="C193" s="13">
        <v>176</v>
      </c>
      <c r="D193" s="8">
        <v>1</v>
      </c>
      <c r="E193" s="8">
        <v>1</v>
      </c>
      <c r="F193">
        <f t="shared" si="36"/>
        <v>1</v>
      </c>
      <c r="G193" s="8">
        <v>150</v>
      </c>
      <c r="H193" s="13">
        <f t="shared" ca="1" si="46"/>
        <v>143</v>
      </c>
      <c r="I193">
        <f t="shared" ca="1" si="40"/>
        <v>1324</v>
      </c>
      <c r="J193">
        <f t="shared" ca="1" si="38"/>
        <v>1331</v>
      </c>
      <c r="K193">
        <f t="shared" ca="1" si="41"/>
        <v>0</v>
      </c>
      <c r="L193">
        <f t="shared" ca="1" si="42"/>
        <v>143</v>
      </c>
      <c r="M193" s="13" t="str">
        <f t="shared" si="44"/>
        <v/>
      </c>
      <c r="N193">
        <f t="shared" ca="1" si="39"/>
        <v>-3</v>
      </c>
      <c r="AT193" s="12" t="e">
        <f t="shared" si="45"/>
        <v>#N/A</v>
      </c>
      <c r="AU193" t="e">
        <f t="shared" si="45"/>
        <v>#N/A</v>
      </c>
      <c r="AV193" t="e">
        <f t="shared" si="45"/>
        <v>#N/A</v>
      </c>
      <c r="AW193" t="e">
        <f t="shared" si="45"/>
        <v>#N/A</v>
      </c>
      <c r="AX193" t="e">
        <f t="shared" si="45"/>
        <v>#N/A</v>
      </c>
      <c r="AY193" t="e">
        <f t="shared" si="45"/>
        <v>#N/A</v>
      </c>
      <c r="AZ193" s="13" t="e">
        <f t="shared" si="45"/>
        <v>#N/A</v>
      </c>
      <c r="BB193">
        <v>948</v>
      </c>
    </row>
    <row r="194" spans="2:54" x14ac:dyDescent="0.45">
      <c r="B194" s="7">
        <v>13</v>
      </c>
      <c r="C194" s="13">
        <v>177</v>
      </c>
      <c r="D194">
        <v>2</v>
      </c>
      <c r="E194">
        <v>1</v>
      </c>
      <c r="F194">
        <f t="shared" si="36"/>
        <v>1</v>
      </c>
      <c r="G194">
        <v>157</v>
      </c>
      <c r="H194" s="13">
        <f t="shared" ca="1" si="46"/>
        <v>160</v>
      </c>
      <c r="I194">
        <f t="shared" ca="1" si="40"/>
        <v>1331</v>
      </c>
      <c r="J194">
        <f t="shared" ca="1" si="38"/>
        <v>1328</v>
      </c>
      <c r="K194">
        <f t="shared" ca="1" si="41"/>
        <v>0</v>
      </c>
      <c r="L194">
        <f t="shared" ca="1" si="42"/>
        <v>160</v>
      </c>
      <c r="M194" s="13" t="str">
        <f t="shared" si="44"/>
        <v/>
      </c>
      <c r="N194">
        <f t="shared" ca="1" si="39"/>
        <v>34</v>
      </c>
      <c r="AT194" s="12" t="e">
        <f t="shared" ref="AT194:AZ209" si="47">IF($B194=AT$17,$J194,NA())</f>
        <v>#N/A</v>
      </c>
      <c r="AU194" t="e">
        <f t="shared" si="47"/>
        <v>#N/A</v>
      </c>
      <c r="AV194" t="e">
        <f t="shared" si="47"/>
        <v>#N/A</v>
      </c>
      <c r="AW194" t="e">
        <f t="shared" si="47"/>
        <v>#N/A</v>
      </c>
      <c r="AX194" t="e">
        <f t="shared" si="47"/>
        <v>#N/A</v>
      </c>
      <c r="AY194" t="e">
        <f t="shared" si="47"/>
        <v>#N/A</v>
      </c>
      <c r="AZ194" s="13" t="e">
        <f t="shared" si="47"/>
        <v>#N/A</v>
      </c>
      <c r="BB194">
        <v>950</v>
      </c>
    </row>
    <row r="195" spans="2:54" x14ac:dyDescent="0.45">
      <c r="B195" s="7">
        <v>13</v>
      </c>
      <c r="C195" s="13">
        <v>178</v>
      </c>
      <c r="D195">
        <v>3</v>
      </c>
      <c r="E195">
        <v>1</v>
      </c>
      <c r="F195">
        <f t="shared" si="36"/>
        <v>1</v>
      </c>
      <c r="G195">
        <v>157</v>
      </c>
      <c r="H195" s="13">
        <f t="shared" ca="1" si="46"/>
        <v>123</v>
      </c>
      <c r="I195">
        <f t="shared" ca="1" si="40"/>
        <v>1328</v>
      </c>
      <c r="J195">
        <f t="shared" ca="1" si="38"/>
        <v>1362</v>
      </c>
      <c r="K195">
        <f t="shared" ca="1" si="41"/>
        <v>0</v>
      </c>
      <c r="L195">
        <f t="shared" ca="1" si="42"/>
        <v>123</v>
      </c>
      <c r="M195" s="13" t="str">
        <f t="shared" si="44"/>
        <v/>
      </c>
      <c r="N195">
        <f t="shared" ca="1" si="39"/>
        <v>14</v>
      </c>
      <c r="AT195" s="12" t="e">
        <f t="shared" si="47"/>
        <v>#N/A</v>
      </c>
      <c r="AU195" t="e">
        <f t="shared" si="47"/>
        <v>#N/A</v>
      </c>
      <c r="AV195" t="e">
        <f t="shared" si="47"/>
        <v>#N/A</v>
      </c>
      <c r="AW195" t="e">
        <f t="shared" si="47"/>
        <v>#N/A</v>
      </c>
      <c r="AX195" t="e">
        <f t="shared" si="47"/>
        <v>#N/A</v>
      </c>
      <c r="AY195" t="e">
        <f t="shared" si="47"/>
        <v>#N/A</v>
      </c>
      <c r="AZ195" s="13" t="e">
        <f t="shared" si="47"/>
        <v>#N/A</v>
      </c>
      <c r="BB195">
        <v>952</v>
      </c>
    </row>
    <row r="196" spans="2:54" x14ac:dyDescent="0.45">
      <c r="B196" s="7">
        <v>13</v>
      </c>
      <c r="C196" s="13">
        <v>179</v>
      </c>
      <c r="D196">
        <v>4</v>
      </c>
      <c r="E196">
        <v>1</v>
      </c>
      <c r="F196">
        <f t="shared" si="36"/>
        <v>1</v>
      </c>
      <c r="G196">
        <v>156</v>
      </c>
      <c r="H196" s="13">
        <f t="shared" ca="1" si="46"/>
        <v>142</v>
      </c>
      <c r="I196">
        <f t="shared" ca="1" si="40"/>
        <v>1362</v>
      </c>
      <c r="J196">
        <f t="shared" ca="1" si="38"/>
        <v>1376</v>
      </c>
      <c r="K196">
        <f t="shared" ca="1" si="41"/>
        <v>0</v>
      </c>
      <c r="L196">
        <f t="shared" ca="1" si="42"/>
        <v>142</v>
      </c>
      <c r="M196" s="13" t="str">
        <f t="shared" si="44"/>
        <v/>
      </c>
      <c r="N196">
        <f t="shared" ca="1" si="39"/>
        <v>15</v>
      </c>
      <c r="AT196" s="12" t="e">
        <f t="shared" si="47"/>
        <v>#N/A</v>
      </c>
      <c r="AU196" t="e">
        <f t="shared" si="47"/>
        <v>#N/A</v>
      </c>
      <c r="AV196" t="e">
        <f t="shared" si="47"/>
        <v>#N/A</v>
      </c>
      <c r="AW196" t="e">
        <f t="shared" si="47"/>
        <v>#N/A</v>
      </c>
      <c r="AX196" t="e">
        <f t="shared" si="47"/>
        <v>#N/A</v>
      </c>
      <c r="AY196" t="e">
        <f t="shared" si="47"/>
        <v>#N/A</v>
      </c>
      <c r="AZ196" s="13" t="e">
        <f t="shared" si="47"/>
        <v>#N/A</v>
      </c>
      <c r="BB196">
        <v>953</v>
      </c>
    </row>
    <row r="197" spans="2:54" x14ac:dyDescent="0.45">
      <c r="B197" s="7">
        <v>13</v>
      </c>
      <c r="C197" s="13">
        <v>180</v>
      </c>
      <c r="D197">
        <v>5</v>
      </c>
      <c r="E197">
        <v>1</v>
      </c>
      <c r="F197">
        <f t="shared" si="36"/>
        <v>1</v>
      </c>
      <c r="G197">
        <v>152</v>
      </c>
      <c r="H197" s="13">
        <f t="shared" ca="1" si="46"/>
        <v>137</v>
      </c>
      <c r="I197">
        <f t="shared" ca="1" si="40"/>
        <v>1376</v>
      </c>
      <c r="J197">
        <f t="shared" ca="1" si="38"/>
        <v>1391</v>
      </c>
      <c r="K197">
        <f t="shared" ca="1" si="41"/>
        <v>0</v>
      </c>
      <c r="L197">
        <f t="shared" ca="1" si="42"/>
        <v>137</v>
      </c>
      <c r="M197" s="13" t="str">
        <f t="shared" si="44"/>
        <v/>
      </c>
      <c r="N197">
        <f t="shared" ca="1" si="39"/>
        <v>0</v>
      </c>
      <c r="AT197" s="12" t="e">
        <f t="shared" si="47"/>
        <v>#N/A</v>
      </c>
      <c r="AU197" t="e">
        <f t="shared" si="47"/>
        <v>#N/A</v>
      </c>
      <c r="AV197" t="e">
        <f t="shared" si="47"/>
        <v>#N/A</v>
      </c>
      <c r="AW197" t="e">
        <f t="shared" si="47"/>
        <v>#N/A</v>
      </c>
      <c r="AX197" t="e">
        <f t="shared" si="47"/>
        <v>#N/A</v>
      </c>
      <c r="AY197" t="e">
        <f t="shared" si="47"/>
        <v>#N/A</v>
      </c>
      <c r="AZ197" s="13" t="e">
        <f t="shared" si="47"/>
        <v>#N/A</v>
      </c>
      <c r="BB197">
        <v>950</v>
      </c>
    </row>
    <row r="198" spans="2:54" x14ac:dyDescent="0.45">
      <c r="B198" s="7">
        <v>13</v>
      </c>
      <c r="C198" s="13">
        <v>181</v>
      </c>
      <c r="D198">
        <v>6</v>
      </c>
      <c r="E198">
        <v>0</v>
      </c>
      <c r="F198">
        <f t="shared" si="36"/>
        <v>0</v>
      </c>
      <c r="G198">
        <v>0</v>
      </c>
      <c r="H198" s="13">
        <f t="shared" ca="1" si="46"/>
        <v>0</v>
      </c>
      <c r="I198">
        <f t="shared" ca="1" si="40"/>
        <v>1391</v>
      </c>
      <c r="J198">
        <f t="shared" ca="1" si="38"/>
        <v>1391</v>
      </c>
      <c r="K198">
        <f t="shared" ca="1" si="41"/>
        <v>0</v>
      </c>
      <c r="L198" t="str">
        <f t="shared" ca="1" si="42"/>
        <v/>
      </c>
      <c r="M198" s="13" t="str">
        <f t="shared" si="44"/>
        <v/>
      </c>
      <c r="N198">
        <f t="shared" ca="1" si="39"/>
        <v>0</v>
      </c>
      <c r="AT198" s="12" t="e">
        <f t="shared" si="47"/>
        <v>#N/A</v>
      </c>
      <c r="AU198" t="e">
        <f t="shared" si="47"/>
        <v>#N/A</v>
      </c>
      <c r="AV198" t="e">
        <f t="shared" si="47"/>
        <v>#N/A</v>
      </c>
      <c r="AW198" t="e">
        <f t="shared" si="47"/>
        <v>#N/A</v>
      </c>
      <c r="AX198" t="e">
        <f t="shared" si="47"/>
        <v>#N/A</v>
      </c>
      <c r="AY198" t="e">
        <f t="shared" si="47"/>
        <v>#N/A</v>
      </c>
      <c r="AZ198" s="13" t="e">
        <f t="shared" si="47"/>
        <v>#N/A</v>
      </c>
      <c r="BB198">
        <v>795</v>
      </c>
    </row>
    <row r="199" spans="2:54" x14ac:dyDescent="0.45">
      <c r="B199" s="7">
        <v>13</v>
      </c>
      <c r="C199" s="13">
        <v>182</v>
      </c>
      <c r="D199" s="15">
        <v>7</v>
      </c>
      <c r="E199" s="15">
        <v>0</v>
      </c>
      <c r="F199">
        <f t="shared" si="36"/>
        <v>0</v>
      </c>
      <c r="G199" s="15">
        <v>0</v>
      </c>
      <c r="H199" s="13">
        <f t="shared" ca="1" si="46"/>
        <v>0</v>
      </c>
      <c r="I199">
        <f t="shared" ca="1" si="40"/>
        <v>1391</v>
      </c>
      <c r="J199">
        <f t="shared" ca="1" si="38"/>
        <v>1391</v>
      </c>
      <c r="K199">
        <f t="shared" ca="1" si="41"/>
        <v>0</v>
      </c>
      <c r="L199" t="str">
        <f t="shared" ca="1" si="42"/>
        <v/>
      </c>
      <c r="M199" s="13">
        <f t="shared" ca="1" si="44"/>
        <v>451</v>
      </c>
      <c r="N199">
        <f t="shared" ca="1" si="39"/>
        <v>7</v>
      </c>
      <c r="AT199" s="12" t="e">
        <f t="shared" si="47"/>
        <v>#N/A</v>
      </c>
      <c r="AU199" t="e">
        <f t="shared" si="47"/>
        <v>#N/A</v>
      </c>
      <c r="AV199" t="e">
        <f t="shared" si="47"/>
        <v>#N/A</v>
      </c>
      <c r="AW199" t="e">
        <f t="shared" si="47"/>
        <v>#N/A</v>
      </c>
      <c r="AX199" t="e">
        <f t="shared" si="47"/>
        <v>#N/A</v>
      </c>
      <c r="AY199" t="e">
        <f t="shared" si="47"/>
        <v>#N/A</v>
      </c>
      <c r="AZ199" s="13" t="e">
        <f t="shared" si="47"/>
        <v>#N/A</v>
      </c>
      <c r="BB199">
        <v>795</v>
      </c>
    </row>
    <row r="200" spans="2:54" x14ac:dyDescent="0.45">
      <c r="B200" s="11">
        <v>14</v>
      </c>
      <c r="C200" s="13">
        <v>183</v>
      </c>
      <c r="D200" s="8">
        <v>1</v>
      </c>
      <c r="E200" s="8">
        <v>1</v>
      </c>
      <c r="F200">
        <f t="shared" si="36"/>
        <v>1</v>
      </c>
      <c r="G200" s="8">
        <v>127</v>
      </c>
      <c r="H200" s="13">
        <f t="shared" ca="1" si="46"/>
        <v>120</v>
      </c>
      <c r="I200">
        <f t="shared" ca="1" si="40"/>
        <v>1391</v>
      </c>
      <c r="J200">
        <f t="shared" ca="1" si="38"/>
        <v>1398</v>
      </c>
      <c r="K200">
        <f t="shared" ca="1" si="41"/>
        <v>0</v>
      </c>
      <c r="L200">
        <f t="shared" ca="1" si="42"/>
        <v>120</v>
      </c>
      <c r="M200" s="13" t="str">
        <f t="shared" si="44"/>
        <v/>
      </c>
      <c r="N200">
        <f t="shared" ca="1" si="39"/>
        <v>-7</v>
      </c>
      <c r="AT200" s="12" t="e">
        <f t="shared" si="47"/>
        <v>#N/A</v>
      </c>
      <c r="AU200" t="e">
        <f t="shared" si="47"/>
        <v>#N/A</v>
      </c>
      <c r="AV200" t="e">
        <f t="shared" si="47"/>
        <v>#N/A</v>
      </c>
      <c r="AW200" t="e">
        <f t="shared" si="47"/>
        <v>#N/A</v>
      </c>
      <c r="AX200" t="e">
        <f t="shared" si="47"/>
        <v>#N/A</v>
      </c>
      <c r="AY200" t="e">
        <f t="shared" si="47"/>
        <v>#N/A</v>
      </c>
      <c r="AZ200" s="13" t="e">
        <f t="shared" si="47"/>
        <v>#N/A</v>
      </c>
      <c r="BB200">
        <v>767</v>
      </c>
    </row>
    <row r="201" spans="2:54" x14ac:dyDescent="0.45">
      <c r="B201" s="11">
        <v>14</v>
      </c>
      <c r="C201" s="13">
        <v>184</v>
      </c>
      <c r="D201">
        <v>2</v>
      </c>
      <c r="E201">
        <v>1</v>
      </c>
      <c r="F201">
        <f t="shared" si="36"/>
        <v>1</v>
      </c>
      <c r="G201">
        <v>126</v>
      </c>
      <c r="H201" s="13">
        <f t="shared" ca="1" si="46"/>
        <v>133</v>
      </c>
      <c r="I201">
        <f t="shared" ca="1" si="40"/>
        <v>1398</v>
      </c>
      <c r="J201">
        <f t="shared" ca="1" si="38"/>
        <v>1391</v>
      </c>
      <c r="K201">
        <f t="shared" ca="1" si="41"/>
        <v>0</v>
      </c>
      <c r="L201">
        <f t="shared" ca="1" si="42"/>
        <v>133</v>
      </c>
      <c r="M201" s="13" t="str">
        <f t="shared" si="44"/>
        <v/>
      </c>
      <c r="N201">
        <f t="shared" ca="1" si="39"/>
        <v>1</v>
      </c>
      <c r="AT201" s="12" t="e">
        <f t="shared" si="47"/>
        <v>#N/A</v>
      </c>
      <c r="AU201" t="e">
        <f t="shared" si="47"/>
        <v>#N/A</v>
      </c>
      <c r="AV201" t="e">
        <f t="shared" si="47"/>
        <v>#N/A</v>
      </c>
      <c r="AW201" t="e">
        <f t="shared" si="47"/>
        <v>#N/A</v>
      </c>
      <c r="AX201" t="e">
        <f t="shared" si="47"/>
        <v>#N/A</v>
      </c>
      <c r="AY201" t="e">
        <f t="shared" si="47"/>
        <v>#N/A</v>
      </c>
      <c r="AZ201" s="13" t="e">
        <f t="shared" si="47"/>
        <v>#N/A</v>
      </c>
      <c r="BB201">
        <v>738</v>
      </c>
    </row>
    <row r="202" spans="2:54" x14ac:dyDescent="0.45">
      <c r="B202" s="11">
        <v>14</v>
      </c>
      <c r="C202" s="13">
        <v>185</v>
      </c>
      <c r="D202">
        <v>3</v>
      </c>
      <c r="E202">
        <v>1</v>
      </c>
      <c r="F202">
        <f t="shared" si="36"/>
        <v>1</v>
      </c>
      <c r="G202">
        <v>129</v>
      </c>
      <c r="H202" s="13">
        <f t="shared" ca="1" si="46"/>
        <v>128</v>
      </c>
      <c r="I202">
        <f t="shared" ca="1" si="40"/>
        <v>1391</v>
      </c>
      <c r="J202">
        <f t="shared" ca="1" si="38"/>
        <v>1392</v>
      </c>
      <c r="K202">
        <f t="shared" ca="1" si="41"/>
        <v>0</v>
      </c>
      <c r="L202">
        <f t="shared" ca="1" si="42"/>
        <v>128</v>
      </c>
      <c r="M202" s="13" t="str">
        <f t="shared" si="44"/>
        <v/>
      </c>
      <c r="N202">
        <f t="shared" ca="1" si="39"/>
        <v>-10</v>
      </c>
      <c r="AT202" s="12" t="e">
        <f t="shared" si="47"/>
        <v>#N/A</v>
      </c>
      <c r="AU202" t="e">
        <f t="shared" si="47"/>
        <v>#N/A</v>
      </c>
      <c r="AV202" t="e">
        <f t="shared" si="47"/>
        <v>#N/A</v>
      </c>
      <c r="AW202" t="e">
        <f t="shared" si="47"/>
        <v>#N/A</v>
      </c>
      <c r="AX202" t="e">
        <f t="shared" si="47"/>
        <v>#N/A</v>
      </c>
      <c r="AY202" t="e">
        <f t="shared" si="47"/>
        <v>#N/A</v>
      </c>
      <c r="AZ202" s="13" t="e">
        <f t="shared" si="47"/>
        <v>#N/A</v>
      </c>
      <c r="BB202">
        <v>712</v>
      </c>
    </row>
    <row r="203" spans="2:54" x14ac:dyDescent="0.45">
      <c r="B203" s="11">
        <v>14</v>
      </c>
      <c r="C203" s="13">
        <v>186</v>
      </c>
      <c r="D203">
        <v>4</v>
      </c>
      <c r="E203">
        <v>1</v>
      </c>
      <c r="F203">
        <f t="shared" si="36"/>
        <v>1</v>
      </c>
      <c r="G203">
        <v>126</v>
      </c>
      <c r="H203" s="13">
        <f t="shared" ca="1" si="46"/>
        <v>136</v>
      </c>
      <c r="I203">
        <f t="shared" ca="1" si="40"/>
        <v>1392</v>
      </c>
      <c r="J203">
        <f t="shared" ca="1" si="38"/>
        <v>1382</v>
      </c>
      <c r="K203">
        <f t="shared" ca="1" si="41"/>
        <v>0</v>
      </c>
      <c r="L203">
        <f t="shared" ca="1" si="42"/>
        <v>136</v>
      </c>
      <c r="M203" s="13" t="str">
        <f t="shared" si="44"/>
        <v/>
      </c>
      <c r="N203">
        <f t="shared" ca="1" si="39"/>
        <v>2</v>
      </c>
      <c r="AT203" s="12" t="e">
        <f t="shared" si="47"/>
        <v>#N/A</v>
      </c>
      <c r="AU203" t="e">
        <f t="shared" si="47"/>
        <v>#N/A</v>
      </c>
      <c r="AV203" t="e">
        <f t="shared" si="47"/>
        <v>#N/A</v>
      </c>
      <c r="AW203" t="e">
        <f t="shared" si="47"/>
        <v>#N/A</v>
      </c>
      <c r="AX203" t="e">
        <f t="shared" si="47"/>
        <v>#N/A</v>
      </c>
      <c r="AY203" t="e">
        <f t="shared" si="47"/>
        <v>#N/A</v>
      </c>
      <c r="AZ203" s="13" t="e">
        <f t="shared" si="47"/>
        <v>#N/A</v>
      </c>
      <c r="BB203">
        <v>683</v>
      </c>
    </row>
    <row r="204" spans="2:54" x14ac:dyDescent="0.45">
      <c r="B204" s="11">
        <v>14</v>
      </c>
      <c r="C204" s="13">
        <v>187</v>
      </c>
      <c r="D204">
        <v>5</v>
      </c>
      <c r="E204">
        <v>1</v>
      </c>
      <c r="F204">
        <f t="shared" si="36"/>
        <v>1</v>
      </c>
      <c r="G204">
        <v>128</v>
      </c>
      <c r="H204" s="13">
        <f t="shared" ca="1" si="46"/>
        <v>126</v>
      </c>
      <c r="I204">
        <f t="shared" ca="1" si="40"/>
        <v>1382</v>
      </c>
      <c r="J204">
        <f t="shared" ca="1" si="38"/>
        <v>1384</v>
      </c>
      <c r="K204">
        <f t="shared" ca="1" si="41"/>
        <v>0</v>
      </c>
      <c r="L204">
        <f t="shared" ca="1" si="42"/>
        <v>126</v>
      </c>
      <c r="M204" s="13" t="str">
        <f t="shared" si="44"/>
        <v/>
      </c>
      <c r="N204">
        <f t="shared" ca="1" si="39"/>
        <v>-130</v>
      </c>
      <c r="AT204" s="12" t="e">
        <f t="shared" si="47"/>
        <v>#N/A</v>
      </c>
      <c r="AU204" t="e">
        <f t="shared" si="47"/>
        <v>#N/A</v>
      </c>
      <c r="AV204" t="e">
        <f t="shared" si="47"/>
        <v>#N/A</v>
      </c>
      <c r="AW204" t="e">
        <f t="shared" si="47"/>
        <v>#N/A</v>
      </c>
      <c r="AX204" t="e">
        <f t="shared" si="47"/>
        <v>#N/A</v>
      </c>
      <c r="AY204" t="e">
        <f t="shared" si="47"/>
        <v>#N/A</v>
      </c>
      <c r="AZ204" s="13" t="e">
        <f t="shared" si="47"/>
        <v>#N/A</v>
      </c>
      <c r="BB204">
        <v>656</v>
      </c>
    </row>
    <row r="205" spans="2:54" x14ac:dyDescent="0.45">
      <c r="B205" s="11">
        <v>14</v>
      </c>
      <c r="C205" s="13">
        <v>188</v>
      </c>
      <c r="D205">
        <v>6</v>
      </c>
      <c r="E205">
        <v>0</v>
      </c>
      <c r="F205">
        <f t="shared" si="36"/>
        <v>1</v>
      </c>
      <c r="G205">
        <v>0</v>
      </c>
      <c r="H205" s="13">
        <f t="shared" ca="1" si="46"/>
        <v>130</v>
      </c>
      <c r="I205">
        <f t="shared" ca="1" si="40"/>
        <v>1384</v>
      </c>
      <c r="J205">
        <f t="shared" ca="1" si="38"/>
        <v>1254</v>
      </c>
      <c r="K205">
        <f t="shared" ca="1" si="41"/>
        <v>0</v>
      </c>
      <c r="L205">
        <f t="shared" ca="1" si="42"/>
        <v>130</v>
      </c>
      <c r="M205" s="13" t="str">
        <f t="shared" si="44"/>
        <v/>
      </c>
      <c r="N205">
        <f t="shared" ca="1" si="39"/>
        <v>0</v>
      </c>
      <c r="AT205" s="12" t="e">
        <f t="shared" si="47"/>
        <v>#N/A</v>
      </c>
      <c r="AU205" t="e">
        <f t="shared" si="47"/>
        <v>#N/A</v>
      </c>
      <c r="AV205" t="e">
        <f t="shared" si="47"/>
        <v>#N/A</v>
      </c>
      <c r="AW205" t="e">
        <f t="shared" si="47"/>
        <v>#N/A</v>
      </c>
      <c r="AX205" t="e">
        <f t="shared" si="47"/>
        <v>#N/A</v>
      </c>
      <c r="AY205" t="e">
        <f t="shared" si="47"/>
        <v>#N/A</v>
      </c>
      <c r="AZ205" s="13" t="e">
        <f t="shared" si="47"/>
        <v>#N/A</v>
      </c>
      <c r="BB205">
        <v>501</v>
      </c>
    </row>
    <row r="206" spans="2:54" x14ac:dyDescent="0.45">
      <c r="B206" s="11">
        <v>14</v>
      </c>
      <c r="C206" s="13">
        <v>189</v>
      </c>
      <c r="D206" s="15">
        <v>7</v>
      </c>
      <c r="E206" s="15">
        <v>0</v>
      </c>
      <c r="F206">
        <f t="shared" si="36"/>
        <v>0</v>
      </c>
      <c r="G206" s="15">
        <v>0</v>
      </c>
      <c r="H206" s="13">
        <f t="shared" ca="1" si="46"/>
        <v>0</v>
      </c>
      <c r="I206">
        <f t="shared" ca="1" si="40"/>
        <v>1254</v>
      </c>
      <c r="J206">
        <f t="shared" ca="1" si="38"/>
        <v>1254</v>
      </c>
      <c r="K206">
        <f t="shared" ca="1" si="41"/>
        <v>0</v>
      </c>
      <c r="L206" t="str">
        <f t="shared" ca="1" si="42"/>
        <v/>
      </c>
      <c r="M206" s="13" t="str">
        <f t="shared" si="44"/>
        <v/>
      </c>
      <c r="N206">
        <f t="shared" ca="1" si="39"/>
        <v>-9</v>
      </c>
      <c r="AT206" s="12" t="e">
        <f t="shared" si="47"/>
        <v>#N/A</v>
      </c>
      <c r="AU206" t="e">
        <f t="shared" si="47"/>
        <v>#N/A</v>
      </c>
      <c r="AV206" t="e">
        <f t="shared" si="47"/>
        <v>#N/A</v>
      </c>
      <c r="AW206" t="e">
        <f t="shared" si="47"/>
        <v>#N/A</v>
      </c>
      <c r="AX206" t="e">
        <f t="shared" si="47"/>
        <v>#N/A</v>
      </c>
      <c r="AY206" t="e">
        <f t="shared" si="47"/>
        <v>#N/A</v>
      </c>
      <c r="AZ206" s="13" t="e">
        <f t="shared" si="47"/>
        <v>#N/A</v>
      </c>
      <c r="BB206">
        <v>501</v>
      </c>
    </row>
    <row r="207" spans="2:54" x14ac:dyDescent="0.45">
      <c r="B207" s="11">
        <v>14</v>
      </c>
      <c r="C207" s="13">
        <v>190</v>
      </c>
      <c r="D207" s="8">
        <v>1</v>
      </c>
      <c r="E207" s="8">
        <v>1</v>
      </c>
      <c r="F207">
        <f t="shared" si="36"/>
        <v>1</v>
      </c>
      <c r="G207" s="8">
        <v>127</v>
      </c>
      <c r="H207" s="13">
        <f t="shared" ca="1" si="46"/>
        <v>136</v>
      </c>
      <c r="I207">
        <f t="shared" ca="1" si="40"/>
        <v>1254</v>
      </c>
      <c r="J207">
        <f t="shared" ca="1" si="38"/>
        <v>1245</v>
      </c>
      <c r="K207">
        <f t="shared" ca="1" si="41"/>
        <v>0</v>
      </c>
      <c r="L207">
        <f t="shared" ca="1" si="42"/>
        <v>136</v>
      </c>
      <c r="M207" s="13" t="str">
        <f t="shared" si="44"/>
        <v/>
      </c>
      <c r="N207">
        <f t="shared" ca="1" si="39"/>
        <v>-19</v>
      </c>
      <c r="AT207" s="12" t="e">
        <f t="shared" si="47"/>
        <v>#N/A</v>
      </c>
      <c r="AU207" t="e">
        <f t="shared" si="47"/>
        <v>#N/A</v>
      </c>
      <c r="AV207" t="e">
        <f t="shared" si="47"/>
        <v>#N/A</v>
      </c>
      <c r="AW207" t="e">
        <f t="shared" si="47"/>
        <v>#N/A</v>
      </c>
      <c r="AX207" t="e">
        <f t="shared" si="47"/>
        <v>#N/A</v>
      </c>
      <c r="AY207" t="e">
        <f t="shared" si="47"/>
        <v>#N/A</v>
      </c>
      <c r="AZ207" s="13" t="e">
        <f t="shared" si="47"/>
        <v>#N/A</v>
      </c>
      <c r="BB207">
        <v>473</v>
      </c>
    </row>
    <row r="208" spans="2:54" x14ac:dyDescent="0.45">
      <c r="B208" s="11">
        <v>14</v>
      </c>
      <c r="C208" s="13">
        <v>191</v>
      </c>
      <c r="D208">
        <v>2</v>
      </c>
      <c r="E208">
        <v>1</v>
      </c>
      <c r="F208">
        <f t="shared" si="36"/>
        <v>1</v>
      </c>
      <c r="G208">
        <v>129</v>
      </c>
      <c r="H208" s="13">
        <f t="shared" ca="1" si="46"/>
        <v>148</v>
      </c>
      <c r="I208">
        <f t="shared" ca="1" si="40"/>
        <v>1245</v>
      </c>
      <c r="J208">
        <f t="shared" ca="1" si="38"/>
        <v>1226</v>
      </c>
      <c r="K208">
        <f t="shared" ca="1" si="41"/>
        <v>0</v>
      </c>
      <c r="L208">
        <f t="shared" ca="1" si="42"/>
        <v>148</v>
      </c>
      <c r="M208" s="13" t="str">
        <f t="shared" si="44"/>
        <v/>
      </c>
      <c r="N208">
        <f t="shared" ca="1" si="39"/>
        <v>-8</v>
      </c>
      <c r="AT208" s="12" t="e">
        <f t="shared" si="47"/>
        <v>#N/A</v>
      </c>
      <c r="AU208" t="e">
        <f t="shared" si="47"/>
        <v>#N/A</v>
      </c>
      <c r="AV208" t="e">
        <f t="shared" si="47"/>
        <v>#N/A</v>
      </c>
      <c r="AW208" t="e">
        <f t="shared" si="47"/>
        <v>#N/A</v>
      </c>
      <c r="AX208" t="e">
        <f t="shared" si="47"/>
        <v>#N/A</v>
      </c>
      <c r="AY208" t="e">
        <f t="shared" si="47"/>
        <v>#N/A</v>
      </c>
      <c r="AZ208" s="13" t="e">
        <f t="shared" si="47"/>
        <v>#N/A</v>
      </c>
      <c r="BB208">
        <v>447</v>
      </c>
    </row>
    <row r="209" spans="2:54" x14ac:dyDescent="0.45">
      <c r="B209" s="11">
        <v>14</v>
      </c>
      <c r="C209" s="13">
        <v>192</v>
      </c>
      <c r="D209">
        <v>3</v>
      </c>
      <c r="E209">
        <v>1</v>
      </c>
      <c r="F209">
        <f t="shared" si="36"/>
        <v>1</v>
      </c>
      <c r="G209">
        <v>126</v>
      </c>
      <c r="H209" s="13">
        <f t="shared" ca="1" si="46"/>
        <v>134</v>
      </c>
      <c r="I209">
        <f t="shared" ca="1" si="40"/>
        <v>1226</v>
      </c>
      <c r="J209">
        <f t="shared" ca="1" si="38"/>
        <v>1218</v>
      </c>
      <c r="K209">
        <f t="shared" ca="1" si="41"/>
        <v>0</v>
      </c>
      <c r="L209">
        <f t="shared" ca="1" si="42"/>
        <v>134</v>
      </c>
      <c r="M209" s="13" t="str">
        <f t="shared" si="44"/>
        <v/>
      </c>
      <c r="N209">
        <f t="shared" ca="1" si="39"/>
        <v>-32</v>
      </c>
      <c r="AT209" s="12" t="e">
        <f t="shared" si="47"/>
        <v>#N/A</v>
      </c>
      <c r="AU209" t="e">
        <f t="shared" si="47"/>
        <v>#N/A</v>
      </c>
      <c r="AV209" t="e">
        <f t="shared" si="47"/>
        <v>#N/A</v>
      </c>
      <c r="AW209" t="e">
        <f t="shared" si="47"/>
        <v>#N/A</v>
      </c>
      <c r="AX209" t="e">
        <f t="shared" si="47"/>
        <v>#N/A</v>
      </c>
      <c r="AY209" t="e">
        <f t="shared" si="47"/>
        <v>#N/A</v>
      </c>
      <c r="AZ209" s="13" t="e">
        <f t="shared" si="47"/>
        <v>#N/A</v>
      </c>
      <c r="BB209">
        <v>418</v>
      </c>
    </row>
    <row r="210" spans="2:54" x14ac:dyDescent="0.45">
      <c r="B210" s="11">
        <v>14</v>
      </c>
      <c r="C210" s="13">
        <v>193</v>
      </c>
      <c r="D210">
        <v>4</v>
      </c>
      <c r="E210">
        <v>1</v>
      </c>
      <c r="F210">
        <f t="shared" si="36"/>
        <v>1</v>
      </c>
      <c r="G210">
        <v>121</v>
      </c>
      <c r="H210" s="13">
        <f t="shared" ca="1" si="46"/>
        <v>153</v>
      </c>
      <c r="I210">
        <f t="shared" ca="1" si="40"/>
        <v>1218</v>
      </c>
      <c r="J210">
        <f t="shared" ca="1" si="38"/>
        <v>1186</v>
      </c>
      <c r="K210">
        <f t="shared" ca="1" si="41"/>
        <v>0</v>
      </c>
      <c r="L210">
        <f t="shared" ca="1" si="42"/>
        <v>153</v>
      </c>
      <c r="M210" s="13" t="str">
        <f t="shared" si="44"/>
        <v/>
      </c>
      <c r="N210">
        <f t="shared" ca="1" si="39"/>
        <v>-7</v>
      </c>
      <c r="AT210" s="12" t="e">
        <f t="shared" ref="AT210:AZ213" si="48">IF($B210=AT$17,$J210,NA())</f>
        <v>#N/A</v>
      </c>
      <c r="AU210" t="e">
        <f t="shared" si="48"/>
        <v>#N/A</v>
      </c>
      <c r="AV210" t="e">
        <f t="shared" si="48"/>
        <v>#N/A</v>
      </c>
      <c r="AW210" t="e">
        <f t="shared" si="48"/>
        <v>#N/A</v>
      </c>
      <c r="AX210" t="e">
        <f t="shared" si="48"/>
        <v>#N/A</v>
      </c>
      <c r="AY210" t="e">
        <f t="shared" si="48"/>
        <v>#N/A</v>
      </c>
      <c r="AZ210" s="13" t="e">
        <f t="shared" si="48"/>
        <v>#N/A</v>
      </c>
      <c r="BB210">
        <v>384</v>
      </c>
    </row>
    <row r="211" spans="2:54" x14ac:dyDescent="0.45">
      <c r="B211" s="11">
        <v>14</v>
      </c>
      <c r="C211" s="13">
        <v>194</v>
      </c>
      <c r="D211">
        <v>5</v>
      </c>
      <c r="E211">
        <v>1</v>
      </c>
      <c r="F211">
        <f t="shared" ref="F211:F213" si="49">IF(D211&lt;=INDEX($C$2:$C$15,B211),1,0)</f>
        <v>1</v>
      </c>
      <c r="G211">
        <v>128</v>
      </c>
      <c r="H211" s="13">
        <f t="shared" ref="H211:H213" ca="1" si="50">IF(F211=1,MIN(I211,RANDBETWEEN(lower,upper)),0)</f>
        <v>135</v>
      </c>
      <c r="I211">
        <f t="shared" ca="1" si="40"/>
        <v>1186</v>
      </c>
      <c r="J211">
        <f t="shared" ref="J211:J213" ca="1" si="51">I211+G211-H211</f>
        <v>1179</v>
      </c>
      <c r="K211">
        <f t="shared" ca="1" si="41"/>
        <v>0</v>
      </c>
      <c r="L211">
        <f t="shared" ca="1" si="42"/>
        <v>135</v>
      </c>
      <c r="M211" s="13" t="str">
        <f t="shared" si="44"/>
        <v/>
      </c>
      <c r="N211">
        <f t="shared" ref="N211:N213" ca="1" si="52">J212-J211</f>
        <v>-145</v>
      </c>
      <c r="AT211" s="12" t="e">
        <f t="shared" si="48"/>
        <v>#N/A</v>
      </c>
      <c r="AU211" t="e">
        <f t="shared" si="48"/>
        <v>#N/A</v>
      </c>
      <c r="AV211" t="e">
        <f t="shared" si="48"/>
        <v>#N/A</v>
      </c>
      <c r="AW211" t="e">
        <f t="shared" si="48"/>
        <v>#N/A</v>
      </c>
      <c r="AX211" t="e">
        <f t="shared" si="48"/>
        <v>#N/A</v>
      </c>
      <c r="AY211" t="e">
        <f t="shared" si="48"/>
        <v>#N/A</v>
      </c>
      <c r="AZ211" s="13" t="e">
        <f t="shared" si="48"/>
        <v>#N/A</v>
      </c>
      <c r="BB211">
        <v>357</v>
      </c>
    </row>
    <row r="212" spans="2:54" x14ac:dyDescent="0.45">
      <c r="B212" s="11">
        <v>14</v>
      </c>
      <c r="C212" s="13">
        <v>195</v>
      </c>
      <c r="D212">
        <v>6</v>
      </c>
      <c r="E212">
        <v>0</v>
      </c>
      <c r="F212">
        <f t="shared" si="49"/>
        <v>1</v>
      </c>
      <c r="G212">
        <v>0</v>
      </c>
      <c r="H212" s="13">
        <f t="shared" ca="1" si="50"/>
        <v>145</v>
      </c>
      <c r="I212">
        <f t="shared" ref="I212:I213" ca="1" si="53">J211</f>
        <v>1179</v>
      </c>
      <c r="J212">
        <f t="shared" ca="1" si="51"/>
        <v>1034</v>
      </c>
      <c r="K212">
        <f t="shared" ref="K212:K213" ca="1" si="54">IF(AND(H212=I212,F212=1),1,0)</f>
        <v>0</v>
      </c>
      <c r="L212">
        <f t="shared" ref="L212:L213" ca="1" si="55">IF(OR(F212=0,K212=1),"",H212)</f>
        <v>145</v>
      </c>
      <c r="M212" s="13" t="str">
        <f t="shared" si="44"/>
        <v/>
      </c>
      <c r="N212">
        <f t="shared" ca="1" si="52"/>
        <v>0</v>
      </c>
      <c r="AT212" s="12" t="e">
        <f t="shared" si="48"/>
        <v>#N/A</v>
      </c>
      <c r="AU212" t="e">
        <f t="shared" si="48"/>
        <v>#N/A</v>
      </c>
      <c r="AV212" t="e">
        <f t="shared" si="48"/>
        <v>#N/A</v>
      </c>
      <c r="AW212" t="e">
        <f t="shared" si="48"/>
        <v>#N/A</v>
      </c>
      <c r="AX212" t="e">
        <f t="shared" si="48"/>
        <v>#N/A</v>
      </c>
      <c r="AY212" t="e">
        <f t="shared" si="48"/>
        <v>#N/A</v>
      </c>
      <c r="AZ212" s="13" t="e">
        <f t="shared" si="48"/>
        <v>#N/A</v>
      </c>
      <c r="BB212">
        <v>202</v>
      </c>
    </row>
    <row r="213" spans="2:54" x14ac:dyDescent="0.45">
      <c r="B213" s="11">
        <v>14</v>
      </c>
      <c r="C213" s="16">
        <v>196</v>
      </c>
      <c r="D213" s="15">
        <v>7</v>
      </c>
      <c r="E213" s="15">
        <v>0</v>
      </c>
      <c r="F213">
        <f t="shared" si="49"/>
        <v>0</v>
      </c>
      <c r="G213" s="15">
        <v>0</v>
      </c>
      <c r="H213" s="13">
        <f t="shared" ca="1" si="50"/>
        <v>0</v>
      </c>
      <c r="I213">
        <f t="shared" ca="1" si="53"/>
        <v>1034</v>
      </c>
      <c r="J213">
        <f t="shared" ca="1" si="51"/>
        <v>1034</v>
      </c>
      <c r="K213" s="15">
        <f t="shared" ca="1" si="54"/>
        <v>0</v>
      </c>
      <c r="L213" s="15" t="str">
        <f t="shared" ca="1" si="55"/>
        <v/>
      </c>
      <c r="M213" s="16">
        <f t="shared" ca="1" si="44"/>
        <v>-167</v>
      </c>
      <c r="N213">
        <f t="shared" ca="1" si="52"/>
        <v>-1034</v>
      </c>
      <c r="AT213" s="14" t="e">
        <f t="shared" si="48"/>
        <v>#N/A</v>
      </c>
      <c r="AU213" s="15" t="e">
        <f t="shared" si="48"/>
        <v>#N/A</v>
      </c>
      <c r="AV213" s="15" t="e">
        <f t="shared" si="48"/>
        <v>#N/A</v>
      </c>
      <c r="AW213" s="15" t="e">
        <f t="shared" si="48"/>
        <v>#N/A</v>
      </c>
      <c r="AX213" s="15" t="e">
        <f t="shared" si="48"/>
        <v>#N/A</v>
      </c>
      <c r="AY213" s="15" t="e">
        <f t="shared" si="48"/>
        <v>#N/A</v>
      </c>
      <c r="AZ213" s="16" t="e">
        <f t="shared" si="48"/>
        <v>#N/A</v>
      </c>
      <c r="BB213">
        <v>202</v>
      </c>
    </row>
  </sheetData>
  <conditionalFormatting sqref="F18:F213">
    <cfRule type="cellIs" dxfId="20" priority="5" operator="equal">
      <formula>0</formula>
    </cfRule>
  </conditionalFormatting>
  <conditionalFormatting sqref="H18:H213">
    <cfRule type="cellIs" dxfId="19" priority="4" operator="equal">
      <formula>0</formula>
    </cfRule>
  </conditionalFormatting>
  <conditionalFormatting sqref="I18 D18:H213">
    <cfRule type="cellIs" dxfId="18" priority="3" operator="equal">
      <formula>0</formula>
    </cfRule>
  </conditionalFormatting>
  <conditionalFormatting sqref="E18:E185">
    <cfRule type="cellIs" dxfId="17" priority="7" operator="equal">
      <formula>0</formula>
    </cfRule>
  </conditionalFormatting>
  <conditionalFormatting sqref="G18:G185 H18:I18">
    <cfRule type="cellIs" dxfId="16" priority="6" operator="equal">
      <formula>0</formula>
    </cfRule>
  </conditionalFormatting>
  <conditionalFormatting sqref="P2:P15">
    <cfRule type="cellIs" dxfId="15" priority="2" operator="lessThan">
      <formula>0</formula>
    </cfRule>
  </conditionalFormatting>
  <conditionalFormatting sqref="K19:K213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sim">
                <anchor moveWithCells="1">
                  <from>
                    <xdr:col>19</xdr:col>
                    <xdr:colOff>152400</xdr:colOff>
                    <xdr:row>8</xdr:row>
                    <xdr:rowOff>142875</xdr:rowOff>
                  </from>
                  <to>
                    <xdr:col>21</xdr:col>
                    <xdr:colOff>242888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AD61-5EE7-481B-9212-976727BDC523}">
  <sheetPr codeName="Sheet2"/>
  <dimension ref="A1:BB213"/>
  <sheetViews>
    <sheetView workbookViewId="0">
      <selection activeCell="V13" sqref="V13"/>
    </sheetView>
  </sheetViews>
  <sheetFormatPr defaultRowHeight="14.25" x14ac:dyDescent="0.45"/>
  <cols>
    <col min="1" max="1" width="4.86328125" customWidth="1"/>
    <col min="5" max="5" width="13.19921875" bestFit="1" customWidth="1"/>
    <col min="13" max="13" width="15.53125" bestFit="1" customWidth="1"/>
    <col min="14" max="14" width="13.19921875" customWidth="1"/>
    <col min="18" max="18" width="8.86328125" customWidth="1"/>
    <col min="27" max="27" width="9.6640625" customWidth="1"/>
    <col min="54" max="54" width="16.796875" customWidth="1"/>
  </cols>
  <sheetData>
    <row r="1" spans="1:54" ht="15.75" x14ac:dyDescent="0.55000000000000004">
      <c r="A1" s="1"/>
      <c r="B1" s="3" t="s">
        <v>72</v>
      </c>
      <c r="C1" s="1" t="s">
        <v>73</v>
      </c>
      <c r="D1" s="1"/>
      <c r="E1" s="1"/>
      <c r="F1" s="1"/>
      <c r="G1" s="1"/>
      <c r="H1" s="5" t="s">
        <v>51</v>
      </c>
      <c r="I1" s="1"/>
      <c r="J1" s="5" t="s">
        <v>48</v>
      </c>
      <c r="K1" s="1"/>
      <c r="L1" s="1"/>
      <c r="M1" s="1"/>
      <c r="N1" s="1"/>
      <c r="O1" s="1" t="s">
        <v>50</v>
      </c>
      <c r="P1" s="1"/>
      <c r="Q1" s="1" t="s">
        <v>85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4" x14ac:dyDescent="0.45">
      <c r="A2" s="1"/>
      <c r="B2" s="3">
        <v>1</v>
      </c>
      <c r="C2" s="65">
        <v>2</v>
      </c>
      <c r="D2" s="1"/>
      <c r="E2" s="1"/>
      <c r="F2" s="1"/>
      <c r="G2" s="3" t="s">
        <v>52</v>
      </c>
      <c r="H2" s="55">
        <f>AVERAGE(H18:H213)</f>
        <v>100.34183673469387</v>
      </c>
      <c r="I2" s="3" t="s">
        <v>53</v>
      </c>
      <c r="J2" s="55">
        <f>AVERAGE(J18:J213)</f>
        <v>283.7704081632653</v>
      </c>
      <c r="K2" s="3" t="s">
        <v>53</v>
      </c>
      <c r="L2" s="55">
        <f>AVERAGE(L18:L213)</f>
        <v>145.11811023622047</v>
      </c>
      <c r="M2" s="1"/>
      <c r="N2" s="1"/>
      <c r="O2" s="1">
        <v>1</v>
      </c>
      <c r="P2" s="77">
        <f t="shared" ref="P2:P15" si="0">_xlfn.MAXIFS($M$18:$M$213,$B$18:$B$213,O2)</f>
        <v>441</v>
      </c>
      <c r="Q2" s="1">
        <f>AVERAGEIFS($G$18:$G$213,$E$18:$E$213,1,$B$18:$B$213,O2)</f>
        <v>78.599999999999994</v>
      </c>
      <c r="R2" s="1"/>
      <c r="S2" s="1" t="s">
        <v>87</v>
      </c>
      <c r="T2" s="1">
        <f>MAX(G18:G213)</f>
        <v>205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4" ht="15.6" customHeight="1" x14ac:dyDescent="0.45">
      <c r="A3" s="1"/>
      <c r="B3" s="3">
        <v>2</v>
      </c>
      <c r="C3" s="66">
        <v>4</v>
      </c>
      <c r="D3" s="1"/>
      <c r="E3" s="1"/>
      <c r="F3" s="1"/>
      <c r="G3" s="3" t="s">
        <v>54</v>
      </c>
      <c r="H3" s="56">
        <f>AVERAGEIF(H18:H213,"&gt;0")</f>
        <v>143.55474452554745</v>
      </c>
      <c r="I3" s="3" t="s">
        <v>55</v>
      </c>
      <c r="J3" s="11">
        <f>MIN(J18:J213)</f>
        <v>0</v>
      </c>
      <c r="K3" s="3" t="s">
        <v>55</v>
      </c>
      <c r="L3" s="11">
        <f>MIN(L18:L213)</f>
        <v>130</v>
      </c>
      <c r="M3" s="1"/>
      <c r="N3" s="1"/>
      <c r="O3" s="1">
        <v>2</v>
      </c>
      <c r="P3" s="77">
        <f t="shared" si="0"/>
        <v>301</v>
      </c>
      <c r="Q3" s="1">
        <f>AVERAGEIFS($G$18:$G$213,$E$18:$E$213,1,$B$18:$B$213,O3)</f>
        <v>90</v>
      </c>
      <c r="R3" s="1"/>
      <c r="S3" s="1" t="s">
        <v>88</v>
      </c>
      <c r="T3" s="1"/>
      <c r="U3" s="1">
        <f>_xlfn.MAXIFS(H18:H213,K18:K213,1)</f>
        <v>149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4" ht="15.6" customHeight="1" x14ac:dyDescent="0.45">
      <c r="A4" s="1"/>
      <c r="B4" s="3">
        <v>3</v>
      </c>
      <c r="C4" s="66">
        <v>4</v>
      </c>
      <c r="D4" s="1"/>
      <c r="E4" s="1"/>
      <c r="F4" s="1"/>
      <c r="G4" s="3" t="s">
        <v>56</v>
      </c>
      <c r="H4" s="56">
        <f>AVERAGEIF(K18:K213,1,H18:H213)</f>
        <v>123.7</v>
      </c>
      <c r="I4" s="3" t="s">
        <v>57</v>
      </c>
      <c r="J4" s="79">
        <f>MAX(J18:J213)</f>
        <v>482</v>
      </c>
      <c r="K4" s="3" t="s">
        <v>57</v>
      </c>
      <c r="L4" s="11">
        <f>MAX(L18:L213)</f>
        <v>155</v>
      </c>
      <c r="M4" s="1"/>
      <c r="N4" s="1"/>
      <c r="O4" s="1">
        <v>3</v>
      </c>
      <c r="P4" s="77">
        <f t="shared" si="0"/>
        <v>-123</v>
      </c>
      <c r="Q4" s="1">
        <f t="shared" ref="Q4:Q15" si="1">AVERAGEIFS($G$18:$G$213,$E$18:$E$213,1,$B$18:$B$213,O4)</f>
        <v>105.7</v>
      </c>
      <c r="R4" s="1"/>
      <c r="S4" s="1" t="s">
        <v>89</v>
      </c>
      <c r="T4" s="1"/>
      <c r="U4" s="1" cm="1">
        <f t="array" ref="U4">MAX(FREQUENCY(IF(N18:N213&gt;0,ROW(N18:N213)),IF(N18:N213&lt;=0,ROW(N18:N213))))</f>
        <v>5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4" ht="15" customHeight="1" x14ac:dyDescent="0.45">
      <c r="A5" s="1"/>
      <c r="B5" s="3">
        <v>4</v>
      </c>
      <c r="C5" s="66">
        <v>5</v>
      </c>
      <c r="D5" s="1"/>
      <c r="E5" s="1"/>
      <c r="F5" s="1"/>
      <c r="G5" s="3" t="s">
        <v>58</v>
      </c>
      <c r="H5" s="57">
        <f>AVERAGEIFS(H18:H213,H18:H213,"&gt;0",K18:K213,0)</f>
        <v>145.11811023622047</v>
      </c>
      <c r="I5" s="3" t="s">
        <v>59</v>
      </c>
      <c r="J5" s="56">
        <f>_xlfn.STDEV.P(J18:J213)</f>
        <v>94.86861667825481</v>
      </c>
      <c r="K5" s="3" t="s">
        <v>59</v>
      </c>
      <c r="L5" s="56">
        <f>_xlfn.STDEV.P(L18:L213)</f>
        <v>10.451699310448843</v>
      </c>
      <c r="M5" s="1"/>
      <c r="N5" s="1"/>
      <c r="O5" s="1">
        <v>4</v>
      </c>
      <c r="P5" s="77">
        <f t="shared" si="0"/>
        <v>-51</v>
      </c>
      <c r="Q5" s="1">
        <f t="shared" si="1"/>
        <v>123.2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4" ht="14.45" customHeight="1" x14ac:dyDescent="0.45">
      <c r="A6" s="1"/>
      <c r="B6" s="3">
        <v>5</v>
      </c>
      <c r="C6" s="66">
        <v>6</v>
      </c>
      <c r="D6" s="1"/>
      <c r="E6" s="1"/>
      <c r="F6" s="1"/>
      <c r="G6" s="1"/>
      <c r="H6" s="1"/>
      <c r="I6" s="3" t="s">
        <v>60</v>
      </c>
      <c r="J6" s="58">
        <f>J4-J3</f>
        <v>482</v>
      </c>
      <c r="K6" s="3" t="s">
        <v>60</v>
      </c>
      <c r="L6" s="58">
        <f>L4-L3</f>
        <v>25</v>
      </c>
      <c r="M6" s="1"/>
      <c r="N6" s="1"/>
      <c r="O6" s="1">
        <v>5</v>
      </c>
      <c r="P6" s="77">
        <f t="shared" si="0"/>
        <v>-106</v>
      </c>
      <c r="Q6" s="1">
        <f t="shared" si="1"/>
        <v>152.19999999999999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4" ht="14.45" customHeight="1" x14ac:dyDescent="0.45">
      <c r="A7" s="1"/>
      <c r="B7" s="3">
        <v>6</v>
      </c>
      <c r="C7" s="66">
        <v>5</v>
      </c>
      <c r="D7" s="1"/>
      <c r="E7" s="2" t="s">
        <v>75</v>
      </c>
      <c r="F7" s="1"/>
      <c r="G7" s="1"/>
      <c r="H7" s="1"/>
      <c r="I7" s="3" t="s">
        <v>61</v>
      </c>
      <c r="J7" s="80">
        <f>J213</f>
        <v>0</v>
      </c>
      <c r="K7" s="3" t="s">
        <v>62</v>
      </c>
      <c r="L7" s="60">
        <f>COUNT(L18:L213)</f>
        <v>127</v>
      </c>
      <c r="M7" s="1"/>
      <c r="N7" s="1"/>
      <c r="O7" s="1">
        <v>6</v>
      </c>
      <c r="P7" s="77">
        <f t="shared" si="0"/>
        <v>-54</v>
      </c>
      <c r="Q7" s="1">
        <f t="shared" si="1"/>
        <v>145.5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4" ht="15.6" customHeight="1" x14ac:dyDescent="0.45">
      <c r="A8" s="1"/>
      <c r="B8" s="3">
        <v>7</v>
      </c>
      <c r="C8" s="66">
        <v>5</v>
      </c>
      <c r="D8" s="1"/>
      <c r="E8" s="1" t="s">
        <v>76</v>
      </c>
      <c r="F8" s="1">
        <f>user!Q23</f>
        <v>130</v>
      </c>
      <c r="G8" s="1"/>
      <c r="H8" s="1"/>
      <c r="I8" s="1"/>
      <c r="J8" s="3" t="s">
        <v>63</v>
      </c>
      <c r="K8" s="81">
        <f>SUM(K18:K213)</f>
        <v>10</v>
      </c>
      <c r="L8" s="1"/>
      <c r="M8" s="1"/>
      <c r="N8" s="1"/>
      <c r="O8" s="1">
        <v>7</v>
      </c>
      <c r="P8" s="77">
        <f t="shared" si="0"/>
        <v>-10</v>
      </c>
      <c r="Q8" s="1">
        <f t="shared" si="1"/>
        <v>150.5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4" ht="15.6" customHeight="1" x14ac:dyDescent="0.45">
      <c r="A9" s="1"/>
      <c r="B9" s="3">
        <v>8</v>
      </c>
      <c r="C9" s="66">
        <v>6</v>
      </c>
      <c r="D9" s="1"/>
      <c r="E9" s="1" t="s">
        <v>77</v>
      </c>
      <c r="F9" s="1">
        <f>user!Q24</f>
        <v>150</v>
      </c>
      <c r="G9" s="1"/>
      <c r="H9" s="1"/>
      <c r="I9" s="1"/>
      <c r="J9" s="3"/>
      <c r="K9" s="1"/>
      <c r="L9" s="1"/>
      <c r="M9" s="1"/>
      <c r="N9" s="1"/>
      <c r="O9" s="1">
        <v>8</v>
      </c>
      <c r="P9" s="77">
        <f t="shared" si="0"/>
        <v>-91</v>
      </c>
      <c r="Q9" s="1">
        <f t="shared" si="1"/>
        <v>170.3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4" ht="15.6" customHeight="1" x14ac:dyDescent="0.45">
      <c r="A10" s="1"/>
      <c r="B10" s="3">
        <v>9</v>
      </c>
      <c r="C10" s="66">
        <v>5</v>
      </c>
      <c r="D10" s="1"/>
      <c r="E10" s="1" t="s">
        <v>78</v>
      </c>
      <c r="F10" s="1">
        <f>user!Q25</f>
        <v>155</v>
      </c>
      <c r="G10" s="1"/>
      <c r="H10" s="1"/>
      <c r="I10" s="1"/>
      <c r="J10" s="3"/>
      <c r="K10" s="1"/>
      <c r="L10" s="1"/>
      <c r="M10" s="1"/>
      <c r="N10" s="1"/>
      <c r="O10" s="1">
        <v>9</v>
      </c>
      <c r="P10" s="77">
        <f t="shared" si="0"/>
        <v>97</v>
      </c>
      <c r="Q10" s="1">
        <f t="shared" si="1"/>
        <v>164.9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4" ht="15.6" customHeight="1" x14ac:dyDescent="0.45">
      <c r="A11" s="1"/>
      <c r="B11" s="3">
        <v>10</v>
      </c>
      <c r="C11" s="66">
        <v>6</v>
      </c>
      <c r="D11" s="1"/>
      <c r="E11" s="1"/>
      <c r="F11" s="1"/>
      <c r="G11" s="1"/>
      <c r="H11" s="1"/>
      <c r="I11" s="1"/>
      <c r="J11" s="3"/>
      <c r="K11" s="1"/>
      <c r="L11" s="1"/>
      <c r="M11" s="1" t="s">
        <v>79</v>
      </c>
      <c r="N11" s="1"/>
      <c r="O11" s="1">
        <v>10</v>
      </c>
      <c r="P11" s="77">
        <f t="shared" si="0"/>
        <v>227</v>
      </c>
      <c r="Q11" s="1">
        <f t="shared" si="1"/>
        <v>183.3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4" ht="15.6" customHeight="1" x14ac:dyDescent="0.45">
      <c r="A12" s="1"/>
      <c r="B12" s="3">
        <v>11</v>
      </c>
      <c r="C12" s="66">
        <v>5</v>
      </c>
      <c r="D12" s="1"/>
      <c r="E12" s="1"/>
      <c r="F12" s="1"/>
      <c r="G12" s="1"/>
      <c r="H12" s="1"/>
      <c r="I12" s="1"/>
      <c r="J12" s="3"/>
      <c r="K12" s="1"/>
      <c r="L12" s="1"/>
      <c r="M12" s="1" t="s">
        <v>80</v>
      </c>
      <c r="N12" s="1">
        <f>user!Q26</f>
        <v>475</v>
      </c>
      <c r="O12" s="1">
        <v>11</v>
      </c>
      <c r="P12" s="77">
        <f t="shared" si="0"/>
        <v>25</v>
      </c>
      <c r="Q12" s="1">
        <f t="shared" si="1"/>
        <v>154.19999999999999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4" ht="15.6" customHeight="1" x14ac:dyDescent="0.45">
      <c r="A13" s="1"/>
      <c r="B13" s="3">
        <v>12</v>
      </c>
      <c r="C13" s="66">
        <v>5</v>
      </c>
      <c r="D13" s="1"/>
      <c r="E13" s="1"/>
      <c r="F13" s="1"/>
      <c r="G13" s="1"/>
      <c r="H13" s="1"/>
      <c r="I13" s="1"/>
      <c r="J13" s="3"/>
      <c r="K13" s="1"/>
      <c r="L13" s="1"/>
      <c r="M13" s="1" t="s">
        <v>82</v>
      </c>
      <c r="N13" s="1">
        <f>user!Q27</f>
        <v>25</v>
      </c>
      <c r="O13" s="1">
        <v>12</v>
      </c>
      <c r="P13" s="77">
        <f t="shared" si="0"/>
        <v>99</v>
      </c>
      <c r="Q13" s="1">
        <f t="shared" si="1"/>
        <v>165.7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4" ht="15.6" customHeight="1" x14ac:dyDescent="0.45">
      <c r="A14" s="1"/>
      <c r="B14" s="3">
        <v>13</v>
      </c>
      <c r="C14" s="66">
        <v>5</v>
      </c>
      <c r="D14" s="1"/>
      <c r="E14" s="1"/>
      <c r="F14" s="1"/>
      <c r="G14" s="1"/>
      <c r="H14" s="1"/>
      <c r="I14" s="1"/>
      <c r="J14" s="3"/>
      <c r="K14" s="1"/>
      <c r="L14" s="1"/>
      <c r="M14" s="1" t="s">
        <v>81</v>
      </c>
      <c r="N14" s="1">
        <f>user!Q28</f>
        <v>20</v>
      </c>
      <c r="O14" s="1">
        <v>13</v>
      </c>
      <c r="P14" s="77">
        <f t="shared" si="0"/>
        <v>116</v>
      </c>
      <c r="Q14" s="1">
        <f t="shared" si="1"/>
        <v>155.9</v>
      </c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4" ht="15.6" customHeight="1" x14ac:dyDescent="0.45">
      <c r="A15" s="1"/>
      <c r="B15" s="3">
        <v>14</v>
      </c>
      <c r="C15" s="67">
        <v>6</v>
      </c>
      <c r="D15" s="1"/>
      <c r="E15" s="1"/>
      <c r="F15" s="1"/>
      <c r="G15" s="1"/>
      <c r="H15" s="1"/>
      <c r="I15" s="1"/>
      <c r="J15" s="3"/>
      <c r="K15" s="1"/>
      <c r="L15" s="1"/>
      <c r="M15" s="1"/>
      <c r="N15" s="1"/>
      <c r="O15" s="1">
        <v>14</v>
      </c>
      <c r="P15" s="77">
        <f t="shared" si="0"/>
        <v>-431</v>
      </c>
      <c r="Q15" s="1">
        <f t="shared" si="1"/>
        <v>126.7</v>
      </c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4" ht="15.75" x14ac:dyDescent="0.55000000000000004">
      <c r="A16" s="1"/>
      <c r="B16" s="68" t="s">
        <v>42</v>
      </c>
      <c r="C16" s="5">
        <f>SUM(C2:C15)*2</f>
        <v>138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 t="s">
        <v>86</v>
      </c>
      <c r="R16" s="1">
        <f>MAX(Q2:Q15)</f>
        <v>183.3</v>
      </c>
      <c r="S16" s="1"/>
      <c r="T16" s="1"/>
      <c r="U16" s="1"/>
      <c r="V16" s="1"/>
      <c r="W16" s="1"/>
      <c r="X16" s="1"/>
      <c r="Y16" s="1"/>
      <c r="Z16" s="1"/>
      <c r="AA16" s="1"/>
      <c r="AB16" s="1" t="s">
        <v>64</v>
      </c>
      <c r="AC16" s="1"/>
      <c r="AD16" s="1"/>
      <c r="AE16" s="1"/>
      <c r="AF16" s="1" t="s">
        <v>65</v>
      </c>
      <c r="AG16" s="1"/>
      <c r="AH16" s="1"/>
      <c r="AI16" s="1"/>
      <c r="AJ16" s="1" t="s">
        <v>51</v>
      </c>
      <c r="AK16" s="1"/>
      <c r="AL16" s="1"/>
      <c r="AM16" s="1"/>
      <c r="AN16" s="1" t="s">
        <v>66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t="s">
        <v>84</v>
      </c>
    </row>
    <row r="17" spans="1:54" ht="76.5" customHeight="1" x14ac:dyDescent="0.65">
      <c r="A17" s="1"/>
      <c r="B17" s="51" t="s">
        <v>2</v>
      </c>
      <c r="C17" s="51" t="s">
        <v>3</v>
      </c>
      <c r="D17" s="51" t="s">
        <v>4</v>
      </c>
      <c r="E17" s="51" t="s">
        <v>5</v>
      </c>
      <c r="F17" s="51" t="s">
        <v>6</v>
      </c>
      <c r="G17" s="52" t="s">
        <v>45</v>
      </c>
      <c r="H17" s="51" t="s">
        <v>46</v>
      </c>
      <c r="I17" s="51" t="s">
        <v>47</v>
      </c>
      <c r="J17" s="51" t="s">
        <v>48</v>
      </c>
      <c r="K17" s="4" t="s">
        <v>49</v>
      </c>
      <c r="L17" s="6"/>
      <c r="M17" s="6"/>
      <c r="N17" s="1" t="s">
        <v>105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61" t="s">
        <v>67</v>
      </c>
      <c r="AB17" s="1" t="s">
        <v>68</v>
      </c>
      <c r="AC17" s="1" t="s">
        <v>69</v>
      </c>
      <c r="AD17" s="1"/>
      <c r="AE17" s="61" t="s">
        <v>67</v>
      </c>
      <c r="AF17" s="1" t="s">
        <v>68</v>
      </c>
      <c r="AG17" s="1" t="s">
        <v>69</v>
      </c>
      <c r="AH17" s="1"/>
      <c r="AI17" s="61" t="s">
        <v>67</v>
      </c>
      <c r="AJ17" s="1" t="s">
        <v>68</v>
      </c>
      <c r="AK17" s="1" t="s">
        <v>69</v>
      </c>
      <c r="AL17" s="1"/>
      <c r="AM17" s="61" t="s">
        <v>67</v>
      </c>
      <c r="AN17" s="1" t="s">
        <v>68</v>
      </c>
      <c r="AO17" s="1" t="s">
        <v>69</v>
      </c>
      <c r="AP17" s="1"/>
      <c r="AQ17" s="1"/>
      <c r="AR17" s="1"/>
      <c r="AS17" s="1"/>
      <c r="AT17" s="1">
        <v>1</v>
      </c>
      <c r="AU17" s="1">
        <v>2</v>
      </c>
      <c r="AV17" s="1">
        <v>3</v>
      </c>
      <c r="AW17" s="1">
        <v>4</v>
      </c>
      <c r="AX17" s="1">
        <v>5</v>
      </c>
      <c r="AY17" s="1">
        <v>6</v>
      </c>
      <c r="AZ17" s="1">
        <v>7</v>
      </c>
      <c r="BA17" s="1"/>
      <c r="BB17" s="51" t="s">
        <v>83</v>
      </c>
    </row>
    <row r="18" spans="1:54" x14ac:dyDescent="0.45">
      <c r="B18" s="11">
        <v>1</v>
      </c>
      <c r="C18">
        <v>1</v>
      </c>
      <c r="D18" s="12">
        <v>1</v>
      </c>
      <c r="E18">
        <v>1</v>
      </c>
      <c r="F18">
        <f>IF(D18&lt;=INDEX($C$2:$C$15,B18),1,0)</f>
        <v>1</v>
      </c>
      <c r="G18">
        <v>85</v>
      </c>
      <c r="H18" s="13">
        <v>0</v>
      </c>
      <c r="I18">
        <v>0</v>
      </c>
      <c r="J18">
        <f>I18+G18-H18</f>
        <v>85</v>
      </c>
      <c r="K18" s="8"/>
      <c r="L18" s="8"/>
      <c r="M18" s="10" t="str">
        <f>IF(B19&lt;&gt;B18,J18-#REF!,"")</f>
        <v/>
      </c>
      <c r="N18">
        <f>J19-J18</f>
        <v>-3</v>
      </c>
      <c r="AA18" s="62" t="str">
        <f>"&lt;="&amp;AB18</f>
        <v>&lt;=100</v>
      </c>
      <c r="AB18" s="9">
        <v>100</v>
      </c>
      <c r="AC18" s="10" cm="1">
        <f t="array" ref="AC18:AC30">FREQUENCY(J18:J213,AB18:AB30)</f>
        <v>4</v>
      </c>
      <c r="AE18" s="62" t="str">
        <f>"="&amp;AF18</f>
        <v>=0</v>
      </c>
      <c r="AF18" s="9">
        <v>0</v>
      </c>
      <c r="AG18" s="10">
        <f t="array" ref="AG18:AG26">FREQUENCY(G18:G213,AF18:AF26)</f>
        <v>56</v>
      </c>
      <c r="AI18" s="62" t="str">
        <f>"="&amp;AJ18</f>
        <v>=0</v>
      </c>
      <c r="AJ18" s="9">
        <v>0</v>
      </c>
      <c r="AK18" s="10">
        <f t="array" ref="AK18:AK27">FREQUENCY(H18:H213,AJ18:AJ27)</f>
        <v>59</v>
      </c>
      <c r="AM18" s="62" t="str">
        <f>"&lt;="&amp;AN18</f>
        <v>&lt;=90</v>
      </c>
      <c r="AN18" s="9">
        <v>90</v>
      </c>
      <c r="AO18" s="10">
        <f t="array" ref="AO18:AO25">FREQUENCY(L18:L213,AN18:AN25)</f>
        <v>0</v>
      </c>
      <c r="AT18" s="9">
        <f t="shared" ref="AT18:AZ33" si="2">IF($B18=AT$17,$J18,NA())</f>
        <v>85</v>
      </c>
      <c r="AU18" s="8" t="e">
        <f t="shared" si="2"/>
        <v>#N/A</v>
      </c>
      <c r="AV18" s="8" t="e">
        <f t="shared" si="2"/>
        <v>#N/A</v>
      </c>
      <c r="AW18" s="8" t="e">
        <f t="shared" si="2"/>
        <v>#N/A</v>
      </c>
      <c r="AX18" s="8" t="e">
        <f t="shared" si="2"/>
        <v>#N/A</v>
      </c>
      <c r="AY18" s="8" t="e">
        <f t="shared" si="2"/>
        <v>#N/A</v>
      </c>
      <c r="AZ18" s="10" t="e">
        <f t="shared" si="2"/>
        <v>#N/A</v>
      </c>
      <c r="BB18">
        <v>85</v>
      </c>
    </row>
    <row r="19" spans="1:54" x14ac:dyDescent="0.45">
      <c r="B19" s="11">
        <v>1</v>
      </c>
      <c r="C19">
        <v>2</v>
      </c>
      <c r="D19" s="12">
        <v>2</v>
      </c>
      <c r="E19">
        <v>1</v>
      </c>
      <c r="F19">
        <f t="shared" ref="F19:F82" si="3">IF(D19&lt;=INDEX($C$2:$C$15,B19),1,0)</f>
        <v>1</v>
      </c>
      <c r="G19">
        <v>82</v>
      </c>
      <c r="H19" s="13">
        <f>IF(F19=1,MIN(I19,$F$8),0)</f>
        <v>85</v>
      </c>
      <c r="I19">
        <f>J18</f>
        <v>85</v>
      </c>
      <c r="J19">
        <f t="shared" ref="J19:J82" si="4">I19+G19-H19</f>
        <v>82</v>
      </c>
      <c r="K19">
        <f>IF(AND(H19=I19,F19=1),1,0)</f>
        <v>1</v>
      </c>
      <c r="L19" t="str">
        <f>IF(OR(F19=0,K19=1),"",H19)</f>
        <v/>
      </c>
      <c r="M19" s="13" t="str">
        <f>IF(B20&lt;&gt;B19,J19-#REF!,"")</f>
        <v/>
      </c>
      <c r="N19">
        <f t="shared" ref="N19:N82" si="5">J20-J19</f>
        <v>95</v>
      </c>
      <c r="AA19" s="62" t="str">
        <f>AB18+1&amp;" - "&amp;AB19</f>
        <v>101 - 200</v>
      </c>
      <c r="AB19" s="12">
        <v>200</v>
      </c>
      <c r="AC19" s="13">
        <v>33</v>
      </c>
      <c r="AE19" s="62" t="str">
        <f>AF18+1&amp;" - "&amp;AF19</f>
        <v>1 - 25</v>
      </c>
      <c r="AF19" s="12">
        <v>25</v>
      </c>
      <c r="AG19" s="13">
        <v>0</v>
      </c>
      <c r="AI19" s="62" t="str">
        <f>AJ18+1&amp;" - "&amp;AJ19</f>
        <v>1 - 20</v>
      </c>
      <c r="AJ19" s="12">
        <v>20</v>
      </c>
      <c r="AK19" s="13">
        <v>0</v>
      </c>
      <c r="AM19" s="62" t="str">
        <f>AN18+1&amp;" - "&amp;AN19</f>
        <v>91 - 100</v>
      </c>
      <c r="AN19" s="12">
        <v>100</v>
      </c>
      <c r="AO19" s="13">
        <v>0</v>
      </c>
      <c r="AT19" s="12">
        <f t="shared" si="2"/>
        <v>82</v>
      </c>
      <c r="AU19" t="e">
        <f t="shared" si="2"/>
        <v>#N/A</v>
      </c>
      <c r="AV19" t="e">
        <f t="shared" si="2"/>
        <v>#N/A</v>
      </c>
      <c r="AW19" t="e">
        <f t="shared" si="2"/>
        <v>#N/A</v>
      </c>
      <c r="AX19" t="e">
        <f t="shared" si="2"/>
        <v>#N/A</v>
      </c>
      <c r="AY19" t="e">
        <f t="shared" si="2"/>
        <v>#N/A</v>
      </c>
      <c r="AZ19" s="13" t="e">
        <f t="shared" si="2"/>
        <v>#N/A</v>
      </c>
      <c r="BB19">
        <v>82</v>
      </c>
    </row>
    <row r="20" spans="1:54" x14ac:dyDescent="0.45">
      <c r="B20" s="11">
        <v>1</v>
      </c>
      <c r="C20">
        <v>3</v>
      </c>
      <c r="D20" s="12">
        <v>3</v>
      </c>
      <c r="E20">
        <v>1</v>
      </c>
      <c r="F20">
        <f t="shared" si="3"/>
        <v>0</v>
      </c>
      <c r="G20">
        <v>95</v>
      </c>
      <c r="H20" s="13">
        <f t="shared" ref="H20:H83" si="6">IF(F20=1,MIN(I20,$F$8),0)</f>
        <v>0</v>
      </c>
      <c r="I20">
        <f t="shared" ref="I20:I83" si="7">J19</f>
        <v>82</v>
      </c>
      <c r="J20">
        <f t="shared" si="4"/>
        <v>177</v>
      </c>
      <c r="K20">
        <f t="shared" ref="K20:K83" si="8">IF(AND(H20=I20,F20=1),1,0)</f>
        <v>0</v>
      </c>
      <c r="L20" t="str">
        <f t="shared" ref="L20:L83" si="9">IF(OR(F20=0,K20=1),"",H20)</f>
        <v/>
      </c>
      <c r="M20" s="13" t="str">
        <f>IF(B21&lt;&gt;B20,J20-#REF!,"")</f>
        <v/>
      </c>
      <c r="N20">
        <f t="shared" si="5"/>
        <v>38</v>
      </c>
      <c r="AA20" s="62" t="str">
        <f t="shared" ref="AA20:AA24" si="10">AB19+1&amp;" - "&amp;AB20</f>
        <v>201 - 300</v>
      </c>
      <c r="AB20" s="12">
        <v>300</v>
      </c>
      <c r="AC20" s="13">
        <v>70</v>
      </c>
      <c r="AE20" s="62" t="str">
        <f t="shared" ref="AE20:AE25" si="11">AF19+1&amp;" - "&amp;AF20</f>
        <v>26 - 50</v>
      </c>
      <c r="AF20" s="12">
        <v>50</v>
      </c>
      <c r="AG20" s="13">
        <v>5</v>
      </c>
      <c r="AI20" s="62" t="str">
        <f t="shared" ref="AI20:AI26" si="12">AJ19+1&amp;" - "&amp;AJ20</f>
        <v>21 - 40</v>
      </c>
      <c r="AJ20" s="12">
        <v>40</v>
      </c>
      <c r="AK20" s="13">
        <v>0</v>
      </c>
      <c r="AM20" s="62" t="str">
        <f t="shared" ref="AM20:AM25" si="13">AN19+1&amp;" - "&amp;AN20</f>
        <v>101 - 110</v>
      </c>
      <c r="AN20" s="12">
        <v>110</v>
      </c>
      <c r="AO20" s="13">
        <v>0</v>
      </c>
      <c r="AT20" s="12">
        <f t="shared" si="2"/>
        <v>177</v>
      </c>
      <c r="AU20" t="e">
        <f t="shared" si="2"/>
        <v>#N/A</v>
      </c>
      <c r="AV20" t="e">
        <f t="shared" si="2"/>
        <v>#N/A</v>
      </c>
      <c r="AW20" t="e">
        <f t="shared" si="2"/>
        <v>#N/A</v>
      </c>
      <c r="AX20" t="e">
        <f t="shared" si="2"/>
        <v>#N/A</v>
      </c>
      <c r="AY20" t="e">
        <f t="shared" si="2"/>
        <v>#N/A</v>
      </c>
      <c r="AZ20" s="13" t="e">
        <f t="shared" si="2"/>
        <v>#N/A</v>
      </c>
      <c r="BB20">
        <v>95</v>
      </c>
    </row>
    <row r="21" spans="1:54" x14ac:dyDescent="0.45">
      <c r="B21" s="11">
        <v>1</v>
      </c>
      <c r="C21">
        <v>4</v>
      </c>
      <c r="D21" s="12">
        <v>4</v>
      </c>
      <c r="E21">
        <v>1</v>
      </c>
      <c r="F21">
        <f t="shared" si="3"/>
        <v>0</v>
      </c>
      <c r="G21">
        <v>38</v>
      </c>
      <c r="H21" s="13">
        <f t="shared" si="6"/>
        <v>0</v>
      </c>
      <c r="I21">
        <f t="shared" si="7"/>
        <v>177</v>
      </c>
      <c r="J21">
        <f t="shared" si="4"/>
        <v>215</v>
      </c>
      <c r="K21">
        <f t="shared" si="8"/>
        <v>0</v>
      </c>
      <c r="L21" t="str">
        <f t="shared" si="9"/>
        <v/>
      </c>
      <c r="M21" s="13" t="str">
        <f>IF(B22&lt;&gt;B21,J21-#REF!,"")</f>
        <v/>
      </c>
      <c r="N21">
        <f t="shared" si="5"/>
        <v>40</v>
      </c>
      <c r="AA21" s="62" t="str">
        <f t="shared" si="10"/>
        <v>301 - 400</v>
      </c>
      <c r="AB21" s="12">
        <v>400</v>
      </c>
      <c r="AC21" s="13">
        <v>61</v>
      </c>
      <c r="AE21" s="62" t="str">
        <f t="shared" si="11"/>
        <v>51 - 75</v>
      </c>
      <c r="AF21" s="12">
        <v>75</v>
      </c>
      <c r="AG21" s="13">
        <v>4</v>
      </c>
      <c r="AI21" s="62" t="str">
        <f t="shared" si="12"/>
        <v>41 - 60</v>
      </c>
      <c r="AJ21" s="12">
        <v>60</v>
      </c>
      <c r="AK21" s="13">
        <v>0</v>
      </c>
      <c r="AM21" s="62" t="str">
        <f t="shared" si="13"/>
        <v>111 - 120</v>
      </c>
      <c r="AN21" s="12">
        <v>120</v>
      </c>
      <c r="AO21" s="13">
        <v>0</v>
      </c>
      <c r="AT21" s="12">
        <f t="shared" si="2"/>
        <v>215</v>
      </c>
      <c r="AU21" t="e">
        <f t="shared" si="2"/>
        <v>#N/A</v>
      </c>
      <c r="AV21" t="e">
        <f t="shared" si="2"/>
        <v>#N/A</v>
      </c>
      <c r="AW21" t="e">
        <f t="shared" si="2"/>
        <v>#N/A</v>
      </c>
      <c r="AX21" t="e">
        <f t="shared" si="2"/>
        <v>#N/A</v>
      </c>
      <c r="AY21" t="e">
        <f t="shared" si="2"/>
        <v>#N/A</v>
      </c>
      <c r="AZ21" s="13" t="e">
        <f t="shared" si="2"/>
        <v>#N/A</v>
      </c>
      <c r="BB21">
        <v>38</v>
      </c>
    </row>
    <row r="22" spans="1:54" x14ac:dyDescent="0.45">
      <c r="B22" s="11">
        <v>1</v>
      </c>
      <c r="C22">
        <v>5</v>
      </c>
      <c r="D22" s="12">
        <v>5</v>
      </c>
      <c r="E22">
        <v>1</v>
      </c>
      <c r="F22">
        <f t="shared" si="3"/>
        <v>0</v>
      </c>
      <c r="G22">
        <v>40</v>
      </c>
      <c r="H22" s="13">
        <f t="shared" si="6"/>
        <v>0</v>
      </c>
      <c r="I22">
        <f t="shared" si="7"/>
        <v>215</v>
      </c>
      <c r="J22">
        <f t="shared" si="4"/>
        <v>255</v>
      </c>
      <c r="K22">
        <f t="shared" si="8"/>
        <v>0</v>
      </c>
      <c r="L22" t="str">
        <f t="shared" si="9"/>
        <v/>
      </c>
      <c r="M22" s="13" t="str">
        <f>IF(B23&lt;&gt;B22,J22-#REF!,"")</f>
        <v/>
      </c>
      <c r="N22">
        <f t="shared" si="5"/>
        <v>0</v>
      </c>
      <c r="AA22" s="62" t="str">
        <f t="shared" si="10"/>
        <v>401 - 500</v>
      </c>
      <c r="AB22" s="12">
        <v>500</v>
      </c>
      <c r="AC22" s="13">
        <v>28</v>
      </c>
      <c r="AE22" s="62" t="str">
        <f t="shared" si="11"/>
        <v>76 - 100</v>
      </c>
      <c r="AF22" s="12">
        <v>100</v>
      </c>
      <c r="AG22" s="13">
        <v>10</v>
      </c>
      <c r="AI22" s="62" t="str">
        <f t="shared" si="12"/>
        <v>61 - 80</v>
      </c>
      <c r="AJ22" s="12">
        <v>80</v>
      </c>
      <c r="AK22" s="13">
        <v>0</v>
      </c>
      <c r="AM22" s="62" t="str">
        <f t="shared" si="13"/>
        <v>121 - 130</v>
      </c>
      <c r="AN22" s="12">
        <v>130</v>
      </c>
      <c r="AO22" s="13">
        <v>40</v>
      </c>
      <c r="AT22" s="12">
        <f t="shared" si="2"/>
        <v>255</v>
      </c>
      <c r="AU22" t="e">
        <f t="shared" si="2"/>
        <v>#N/A</v>
      </c>
      <c r="AV22" t="e">
        <f t="shared" si="2"/>
        <v>#N/A</v>
      </c>
      <c r="AW22" t="e">
        <f t="shared" si="2"/>
        <v>#N/A</v>
      </c>
      <c r="AX22" t="e">
        <f t="shared" si="2"/>
        <v>#N/A</v>
      </c>
      <c r="AY22" t="e">
        <f t="shared" si="2"/>
        <v>#N/A</v>
      </c>
      <c r="AZ22" s="13" t="e">
        <f t="shared" si="2"/>
        <v>#N/A</v>
      </c>
      <c r="BB22">
        <v>78</v>
      </c>
    </row>
    <row r="23" spans="1:54" x14ac:dyDescent="0.45">
      <c r="B23" s="11">
        <v>1</v>
      </c>
      <c r="C23">
        <v>6</v>
      </c>
      <c r="D23" s="12">
        <v>6</v>
      </c>
      <c r="E23">
        <v>0</v>
      </c>
      <c r="F23">
        <f t="shared" si="3"/>
        <v>0</v>
      </c>
      <c r="G23">
        <v>0</v>
      </c>
      <c r="H23" s="13">
        <f t="shared" si="6"/>
        <v>0</v>
      </c>
      <c r="I23">
        <f t="shared" si="7"/>
        <v>255</v>
      </c>
      <c r="J23">
        <f t="shared" si="4"/>
        <v>255</v>
      </c>
      <c r="K23">
        <f t="shared" si="8"/>
        <v>0</v>
      </c>
      <c r="L23" t="str">
        <f t="shared" si="9"/>
        <v/>
      </c>
      <c r="M23" s="13" t="str">
        <f>IF(B24&lt;&gt;B23,J23-#REF!,"")</f>
        <v/>
      </c>
      <c r="N23">
        <f t="shared" si="5"/>
        <v>0</v>
      </c>
      <c r="AA23" s="62" t="str">
        <f t="shared" si="10"/>
        <v>501 - 600</v>
      </c>
      <c r="AB23" s="12">
        <v>600</v>
      </c>
      <c r="AC23" s="13">
        <v>0</v>
      </c>
      <c r="AE23" s="62" t="str">
        <f t="shared" si="11"/>
        <v>101 - 125</v>
      </c>
      <c r="AF23" s="12">
        <v>125</v>
      </c>
      <c r="AG23" s="13">
        <v>18</v>
      </c>
      <c r="AI23" s="62" t="str">
        <f t="shared" si="12"/>
        <v>81 - 100</v>
      </c>
      <c r="AJ23" s="12">
        <v>100</v>
      </c>
      <c r="AK23" s="13">
        <v>1</v>
      </c>
      <c r="AM23" s="62" t="str">
        <f t="shared" si="13"/>
        <v>131 - 140</v>
      </c>
      <c r="AN23" s="12">
        <v>140</v>
      </c>
      <c r="AO23" s="13">
        <v>0</v>
      </c>
      <c r="AT23" s="12">
        <f t="shared" si="2"/>
        <v>255</v>
      </c>
      <c r="AU23" t="e">
        <f t="shared" si="2"/>
        <v>#N/A</v>
      </c>
      <c r="AV23" t="e">
        <f t="shared" si="2"/>
        <v>#N/A</v>
      </c>
      <c r="AW23" t="e">
        <f t="shared" si="2"/>
        <v>#N/A</v>
      </c>
      <c r="AX23" t="e">
        <f t="shared" si="2"/>
        <v>#N/A</v>
      </c>
      <c r="AY23" t="e">
        <f t="shared" si="2"/>
        <v>#N/A</v>
      </c>
      <c r="AZ23" s="13" t="e">
        <f t="shared" si="2"/>
        <v>#N/A</v>
      </c>
      <c r="BB23">
        <v>78</v>
      </c>
    </row>
    <row r="24" spans="1:54" x14ac:dyDescent="0.45">
      <c r="B24" s="11">
        <v>1</v>
      </c>
      <c r="C24">
        <v>7</v>
      </c>
      <c r="D24" s="14">
        <v>7</v>
      </c>
      <c r="E24" s="15">
        <v>0</v>
      </c>
      <c r="F24">
        <f t="shared" si="3"/>
        <v>0</v>
      </c>
      <c r="G24" s="15">
        <v>0</v>
      </c>
      <c r="H24" s="13">
        <f t="shared" si="6"/>
        <v>0</v>
      </c>
      <c r="I24">
        <f t="shared" si="7"/>
        <v>255</v>
      </c>
      <c r="J24">
        <f t="shared" si="4"/>
        <v>255</v>
      </c>
      <c r="K24">
        <f t="shared" si="8"/>
        <v>0</v>
      </c>
      <c r="L24" t="str">
        <f t="shared" si="9"/>
        <v/>
      </c>
      <c r="M24" s="13" t="str">
        <f>IF(B25&lt;&gt;B24,J24-#REF!,"")</f>
        <v/>
      </c>
      <c r="N24">
        <f t="shared" si="5"/>
        <v>13</v>
      </c>
      <c r="AA24" s="62" t="str">
        <f t="shared" si="10"/>
        <v>601 - 700</v>
      </c>
      <c r="AB24" s="12">
        <v>700</v>
      </c>
      <c r="AC24" s="13">
        <v>0</v>
      </c>
      <c r="AE24" s="62" t="str">
        <f t="shared" si="11"/>
        <v>126 - 150</v>
      </c>
      <c r="AF24" s="12">
        <v>150</v>
      </c>
      <c r="AG24" s="13">
        <v>30</v>
      </c>
      <c r="AI24" s="62" t="str">
        <f t="shared" si="12"/>
        <v>101 - 120</v>
      </c>
      <c r="AJ24" s="12">
        <v>120</v>
      </c>
      <c r="AK24" s="13">
        <v>1</v>
      </c>
      <c r="AM24" s="62" t="str">
        <f t="shared" si="13"/>
        <v>141 - 150</v>
      </c>
      <c r="AN24" s="12">
        <v>150</v>
      </c>
      <c r="AO24" s="13">
        <v>51</v>
      </c>
      <c r="AT24" s="12">
        <f t="shared" si="2"/>
        <v>255</v>
      </c>
      <c r="AU24" t="e">
        <f t="shared" si="2"/>
        <v>#N/A</v>
      </c>
      <c r="AV24" t="e">
        <f t="shared" si="2"/>
        <v>#N/A</v>
      </c>
      <c r="AW24" t="e">
        <f t="shared" si="2"/>
        <v>#N/A</v>
      </c>
      <c r="AX24" t="e">
        <f t="shared" si="2"/>
        <v>#N/A</v>
      </c>
      <c r="AY24" t="e">
        <f t="shared" si="2"/>
        <v>#N/A</v>
      </c>
      <c r="AZ24" s="13" t="e">
        <f t="shared" si="2"/>
        <v>#N/A</v>
      </c>
      <c r="BB24">
        <v>78</v>
      </c>
    </row>
    <row r="25" spans="1:54" x14ac:dyDescent="0.45">
      <c r="B25" s="11">
        <v>1</v>
      </c>
      <c r="C25" s="13">
        <v>8</v>
      </c>
      <c r="D25">
        <v>1</v>
      </c>
      <c r="E25">
        <v>1</v>
      </c>
      <c r="F25">
        <f t="shared" si="3"/>
        <v>1</v>
      </c>
      <c r="G25">
        <v>143</v>
      </c>
      <c r="H25" s="13">
        <f t="shared" si="6"/>
        <v>130</v>
      </c>
      <c r="I25">
        <f t="shared" si="7"/>
        <v>255</v>
      </c>
      <c r="J25">
        <f t="shared" si="4"/>
        <v>268</v>
      </c>
      <c r="K25">
        <f t="shared" si="8"/>
        <v>0</v>
      </c>
      <c r="L25">
        <f t="shared" si="9"/>
        <v>130</v>
      </c>
      <c r="M25" s="13" t="str">
        <f>IF(B26&lt;&gt;B25,J25-#REF!,"")</f>
        <v/>
      </c>
      <c r="N25">
        <f t="shared" si="5"/>
        <v>-45</v>
      </c>
      <c r="AA25" s="62" t="str">
        <f>AB24+1&amp;" - "&amp;AB25</f>
        <v>701 - 800</v>
      </c>
      <c r="AB25" s="12">
        <v>800</v>
      </c>
      <c r="AC25" s="13">
        <v>0</v>
      </c>
      <c r="AE25" s="62" t="str">
        <f t="shared" si="11"/>
        <v>151 - 175</v>
      </c>
      <c r="AF25" s="12">
        <v>175</v>
      </c>
      <c r="AG25" s="13">
        <v>57</v>
      </c>
      <c r="AI25" s="62" t="str">
        <f t="shared" si="12"/>
        <v>121 - 140</v>
      </c>
      <c r="AJ25" s="12">
        <v>140</v>
      </c>
      <c r="AK25" s="13">
        <v>46</v>
      </c>
      <c r="AM25" s="62" t="str">
        <f t="shared" si="13"/>
        <v>151 - 160</v>
      </c>
      <c r="AN25" s="14">
        <v>160</v>
      </c>
      <c r="AO25" s="16">
        <v>36</v>
      </c>
      <c r="AT25" s="12">
        <f t="shared" si="2"/>
        <v>268</v>
      </c>
      <c r="AU25" t="e">
        <f t="shared" si="2"/>
        <v>#N/A</v>
      </c>
      <c r="AV25" t="e">
        <f t="shared" si="2"/>
        <v>#N/A</v>
      </c>
      <c r="AW25" t="e">
        <f t="shared" si="2"/>
        <v>#N/A</v>
      </c>
      <c r="AX25" t="e">
        <f t="shared" si="2"/>
        <v>#N/A</v>
      </c>
      <c r="AY25" t="e">
        <f t="shared" si="2"/>
        <v>#N/A</v>
      </c>
      <c r="AZ25" s="13" t="e">
        <f t="shared" si="2"/>
        <v>#N/A</v>
      </c>
      <c r="BB25">
        <v>143</v>
      </c>
    </row>
    <row r="26" spans="1:54" x14ac:dyDescent="0.45">
      <c r="B26" s="11">
        <v>1</v>
      </c>
      <c r="C26" s="13">
        <v>9</v>
      </c>
      <c r="D26">
        <v>2</v>
      </c>
      <c r="E26">
        <v>1</v>
      </c>
      <c r="F26">
        <f t="shared" si="3"/>
        <v>1</v>
      </c>
      <c r="G26">
        <v>85</v>
      </c>
      <c r="H26" s="13">
        <f t="shared" si="6"/>
        <v>130</v>
      </c>
      <c r="I26">
        <f t="shared" si="7"/>
        <v>268</v>
      </c>
      <c r="J26">
        <f t="shared" si="4"/>
        <v>223</v>
      </c>
      <c r="K26">
        <f t="shared" si="8"/>
        <v>0</v>
      </c>
      <c r="L26">
        <f t="shared" si="9"/>
        <v>130</v>
      </c>
      <c r="M26" s="13" t="str">
        <f>IF(B27&lt;&gt;B26,J26-#REF!,"")</f>
        <v/>
      </c>
      <c r="N26">
        <f t="shared" si="5"/>
        <v>43</v>
      </c>
      <c r="AA26" s="62" t="str">
        <f>AB25+1&amp;" - "&amp;AB26</f>
        <v>801 - 900</v>
      </c>
      <c r="AB26" s="12">
        <v>900</v>
      </c>
      <c r="AC26" s="13">
        <v>0</v>
      </c>
      <c r="AE26" s="62" t="str">
        <f>AF25+1&amp;" +"</f>
        <v>176 +</v>
      </c>
      <c r="AF26" s="14" t="s">
        <v>70</v>
      </c>
      <c r="AG26" s="16">
        <v>16</v>
      </c>
      <c r="AI26" s="62" t="str">
        <f t="shared" si="12"/>
        <v>141 - 160</v>
      </c>
      <c r="AJ26" s="12">
        <v>160</v>
      </c>
      <c r="AK26" s="13">
        <v>89</v>
      </c>
      <c r="AT26" s="12">
        <f t="shared" si="2"/>
        <v>223</v>
      </c>
      <c r="AU26" t="e">
        <f t="shared" si="2"/>
        <v>#N/A</v>
      </c>
      <c r="AV26" t="e">
        <f t="shared" si="2"/>
        <v>#N/A</v>
      </c>
      <c r="AW26" t="e">
        <f t="shared" si="2"/>
        <v>#N/A</v>
      </c>
      <c r="AX26" t="e">
        <f t="shared" si="2"/>
        <v>#N/A</v>
      </c>
      <c r="AY26" t="e">
        <f t="shared" si="2"/>
        <v>#N/A</v>
      </c>
      <c r="AZ26" s="13" t="e">
        <f t="shared" si="2"/>
        <v>#N/A</v>
      </c>
      <c r="BB26">
        <v>98</v>
      </c>
    </row>
    <row r="27" spans="1:54" x14ac:dyDescent="0.45">
      <c r="B27" s="11">
        <v>1</v>
      </c>
      <c r="C27" s="13">
        <v>10</v>
      </c>
      <c r="D27">
        <v>3</v>
      </c>
      <c r="E27">
        <v>1</v>
      </c>
      <c r="F27">
        <f t="shared" si="3"/>
        <v>0</v>
      </c>
      <c r="G27">
        <v>43</v>
      </c>
      <c r="H27" s="13">
        <f t="shared" si="6"/>
        <v>0</v>
      </c>
      <c r="I27">
        <f t="shared" si="7"/>
        <v>223</v>
      </c>
      <c r="J27">
        <f t="shared" si="4"/>
        <v>266</v>
      </c>
      <c r="K27">
        <f t="shared" si="8"/>
        <v>0</v>
      </c>
      <c r="L27" t="str">
        <f t="shared" si="9"/>
        <v/>
      </c>
      <c r="M27" s="13" t="str">
        <f>IF(B28&lt;&gt;B27,J27-#REF!,"")</f>
        <v/>
      </c>
      <c r="N27">
        <f t="shared" si="5"/>
        <v>101</v>
      </c>
      <c r="AA27" s="62" t="str">
        <f>AB26+1&amp;" - "&amp;AB27</f>
        <v>901 - 1000</v>
      </c>
      <c r="AB27" s="12">
        <v>1000</v>
      </c>
      <c r="AC27" s="13">
        <v>0</v>
      </c>
      <c r="AI27" s="62" t="str">
        <f>AJ26+1&amp;" +"</f>
        <v>161 +</v>
      </c>
      <c r="AJ27" s="14" t="s">
        <v>70</v>
      </c>
      <c r="AK27" s="16">
        <v>0</v>
      </c>
      <c r="AT27" s="12">
        <f t="shared" si="2"/>
        <v>266</v>
      </c>
      <c r="AU27" t="e">
        <f t="shared" si="2"/>
        <v>#N/A</v>
      </c>
      <c r="AV27" t="e">
        <f t="shared" si="2"/>
        <v>#N/A</v>
      </c>
      <c r="AW27" t="e">
        <f t="shared" si="2"/>
        <v>#N/A</v>
      </c>
      <c r="AX27" t="e">
        <f t="shared" si="2"/>
        <v>#N/A</v>
      </c>
      <c r="AY27" t="e">
        <f t="shared" si="2"/>
        <v>#N/A</v>
      </c>
      <c r="AZ27" s="13" t="e">
        <f t="shared" si="2"/>
        <v>#N/A</v>
      </c>
      <c r="BB27">
        <v>43</v>
      </c>
    </row>
    <row r="28" spans="1:54" x14ac:dyDescent="0.45">
      <c r="B28" s="11">
        <v>1</v>
      </c>
      <c r="C28" s="13">
        <v>11</v>
      </c>
      <c r="D28">
        <v>4</v>
      </c>
      <c r="E28">
        <v>1</v>
      </c>
      <c r="F28">
        <f t="shared" si="3"/>
        <v>0</v>
      </c>
      <c r="G28">
        <v>101</v>
      </c>
      <c r="H28" s="13">
        <f t="shared" si="6"/>
        <v>0</v>
      </c>
      <c r="I28">
        <f t="shared" si="7"/>
        <v>266</v>
      </c>
      <c r="J28">
        <f t="shared" si="4"/>
        <v>367</v>
      </c>
      <c r="K28">
        <f t="shared" si="8"/>
        <v>0</v>
      </c>
      <c r="L28" t="str">
        <f t="shared" si="9"/>
        <v/>
      </c>
      <c r="M28" s="13" t="str">
        <f>IF(B29&lt;&gt;B28,J28-#REF!,"")</f>
        <v/>
      </c>
      <c r="N28">
        <f t="shared" si="5"/>
        <v>74</v>
      </c>
      <c r="AA28" s="62" t="str">
        <f>AB27+1&amp;" - "&amp;AB28</f>
        <v>1001 - 1100</v>
      </c>
      <c r="AB28" s="12">
        <v>1100</v>
      </c>
      <c r="AC28" s="13">
        <v>0</v>
      </c>
      <c r="AT28" s="12">
        <f t="shared" si="2"/>
        <v>367</v>
      </c>
      <c r="AU28" t="e">
        <f t="shared" si="2"/>
        <v>#N/A</v>
      </c>
      <c r="AV28" t="e">
        <f t="shared" si="2"/>
        <v>#N/A</v>
      </c>
      <c r="AW28" t="e">
        <f t="shared" si="2"/>
        <v>#N/A</v>
      </c>
      <c r="AX28" t="e">
        <f t="shared" si="2"/>
        <v>#N/A</v>
      </c>
      <c r="AY28" t="e">
        <f t="shared" si="2"/>
        <v>#N/A</v>
      </c>
      <c r="AZ28" s="13" t="e">
        <f t="shared" si="2"/>
        <v>#N/A</v>
      </c>
      <c r="BB28">
        <v>101</v>
      </c>
    </row>
    <row r="29" spans="1:54" x14ac:dyDescent="0.45">
      <c r="B29" s="11">
        <v>1</v>
      </c>
      <c r="C29" s="13">
        <v>12</v>
      </c>
      <c r="D29">
        <v>5</v>
      </c>
      <c r="E29">
        <v>1</v>
      </c>
      <c r="F29">
        <f t="shared" si="3"/>
        <v>0</v>
      </c>
      <c r="G29">
        <v>74</v>
      </c>
      <c r="H29" s="13">
        <f t="shared" si="6"/>
        <v>0</v>
      </c>
      <c r="I29">
        <f t="shared" si="7"/>
        <v>367</v>
      </c>
      <c r="J29">
        <f t="shared" si="4"/>
        <v>441</v>
      </c>
      <c r="K29">
        <f t="shared" si="8"/>
        <v>0</v>
      </c>
      <c r="L29" t="str">
        <f t="shared" si="9"/>
        <v/>
      </c>
      <c r="M29" s="13" t="str">
        <f>IF(B30&lt;&gt;B29,J29-#REF!,"")</f>
        <v/>
      </c>
      <c r="N29">
        <f t="shared" si="5"/>
        <v>0</v>
      </c>
      <c r="AA29" s="62" t="str">
        <f>AB28+1&amp;" - "&amp;AB29</f>
        <v>1101 - 1200</v>
      </c>
      <c r="AB29" s="12">
        <v>1200</v>
      </c>
      <c r="AC29" s="13">
        <v>0</v>
      </c>
      <c r="AT29" s="12">
        <f t="shared" si="2"/>
        <v>441</v>
      </c>
      <c r="AU29" t="e">
        <f t="shared" si="2"/>
        <v>#N/A</v>
      </c>
      <c r="AV29" t="e">
        <f t="shared" si="2"/>
        <v>#N/A</v>
      </c>
      <c r="AW29" t="e">
        <f t="shared" si="2"/>
        <v>#N/A</v>
      </c>
      <c r="AX29" t="e">
        <f t="shared" si="2"/>
        <v>#N/A</v>
      </c>
      <c r="AY29" t="e">
        <f t="shared" si="2"/>
        <v>#N/A</v>
      </c>
      <c r="AZ29" s="13" t="e">
        <f t="shared" si="2"/>
        <v>#N/A</v>
      </c>
      <c r="BB29">
        <v>175</v>
      </c>
    </row>
    <row r="30" spans="1:54" x14ac:dyDescent="0.45">
      <c r="B30" s="11">
        <v>1</v>
      </c>
      <c r="C30" s="13">
        <v>13</v>
      </c>
      <c r="D30">
        <v>6</v>
      </c>
      <c r="E30">
        <v>0</v>
      </c>
      <c r="F30">
        <f t="shared" si="3"/>
        <v>0</v>
      </c>
      <c r="G30">
        <v>0</v>
      </c>
      <c r="H30" s="13">
        <f t="shared" si="6"/>
        <v>0</v>
      </c>
      <c r="I30">
        <f t="shared" si="7"/>
        <v>441</v>
      </c>
      <c r="J30">
        <f t="shared" si="4"/>
        <v>441</v>
      </c>
      <c r="K30">
        <f t="shared" si="8"/>
        <v>0</v>
      </c>
      <c r="L30" t="str">
        <f t="shared" si="9"/>
        <v/>
      </c>
      <c r="M30" s="13" t="str">
        <f>IF(B31&lt;&gt;B30,J30-#REF!,"")</f>
        <v/>
      </c>
      <c r="N30">
        <f t="shared" si="5"/>
        <v>0</v>
      </c>
      <c r="AA30" s="63" t="str">
        <f>AB29+1&amp;" +"</f>
        <v>1201 +</v>
      </c>
      <c r="AB30" s="64" t="s">
        <v>70</v>
      </c>
      <c r="AC30" s="16">
        <v>0</v>
      </c>
      <c r="AT30" s="12">
        <f t="shared" si="2"/>
        <v>441</v>
      </c>
      <c r="AU30" t="e">
        <f t="shared" si="2"/>
        <v>#N/A</v>
      </c>
      <c r="AV30" t="e">
        <f t="shared" si="2"/>
        <v>#N/A</v>
      </c>
      <c r="AW30" t="e">
        <f t="shared" si="2"/>
        <v>#N/A</v>
      </c>
      <c r="AX30" t="e">
        <f t="shared" si="2"/>
        <v>#N/A</v>
      </c>
      <c r="AY30" t="e">
        <f t="shared" si="2"/>
        <v>#N/A</v>
      </c>
      <c r="AZ30" s="13" t="e">
        <f t="shared" si="2"/>
        <v>#N/A</v>
      </c>
      <c r="BB30">
        <v>175</v>
      </c>
    </row>
    <row r="31" spans="1:54" x14ac:dyDescent="0.45">
      <c r="B31" s="11">
        <v>1</v>
      </c>
      <c r="C31" s="13">
        <v>14</v>
      </c>
      <c r="D31" s="15">
        <v>7</v>
      </c>
      <c r="E31" s="15">
        <v>0</v>
      </c>
      <c r="F31">
        <f t="shared" si="3"/>
        <v>0</v>
      </c>
      <c r="G31" s="15">
        <v>0</v>
      </c>
      <c r="H31" s="13">
        <f t="shared" si="6"/>
        <v>0</v>
      </c>
      <c r="I31">
        <f t="shared" si="7"/>
        <v>441</v>
      </c>
      <c r="J31">
        <f t="shared" si="4"/>
        <v>441</v>
      </c>
      <c r="K31">
        <f t="shared" si="8"/>
        <v>0</v>
      </c>
      <c r="L31" t="str">
        <f t="shared" si="9"/>
        <v/>
      </c>
      <c r="M31" s="13">
        <f>IF(B32&lt;&gt;B31,J31-I18,"")</f>
        <v>441</v>
      </c>
      <c r="N31">
        <f t="shared" si="5"/>
        <v>-59</v>
      </c>
      <c r="AT31" s="12">
        <f t="shared" si="2"/>
        <v>441</v>
      </c>
      <c r="AU31" t="e">
        <f t="shared" si="2"/>
        <v>#N/A</v>
      </c>
      <c r="AV31" t="e">
        <f t="shared" si="2"/>
        <v>#N/A</v>
      </c>
      <c r="AW31" t="e">
        <f t="shared" si="2"/>
        <v>#N/A</v>
      </c>
      <c r="AX31" t="e">
        <f t="shared" si="2"/>
        <v>#N/A</v>
      </c>
      <c r="AY31" t="e">
        <f t="shared" si="2"/>
        <v>#N/A</v>
      </c>
      <c r="AZ31" s="13" t="e">
        <f t="shared" si="2"/>
        <v>#N/A</v>
      </c>
      <c r="BB31">
        <v>175</v>
      </c>
    </row>
    <row r="32" spans="1:54" x14ac:dyDescent="0.45">
      <c r="B32" s="11">
        <v>2</v>
      </c>
      <c r="C32" s="13">
        <v>15</v>
      </c>
      <c r="D32" s="8">
        <v>1</v>
      </c>
      <c r="E32" s="8">
        <v>1</v>
      </c>
      <c r="F32">
        <f t="shared" si="3"/>
        <v>1</v>
      </c>
      <c r="G32" s="8">
        <v>71</v>
      </c>
      <c r="H32" s="13">
        <f t="shared" si="6"/>
        <v>130</v>
      </c>
      <c r="I32">
        <f t="shared" si="7"/>
        <v>441</v>
      </c>
      <c r="J32">
        <f t="shared" si="4"/>
        <v>382</v>
      </c>
      <c r="K32">
        <f t="shared" si="8"/>
        <v>0</v>
      </c>
      <c r="L32">
        <f t="shared" si="9"/>
        <v>130</v>
      </c>
      <c r="M32" s="13" t="str">
        <f>IF(B33&lt;&gt;B32,J32-#REF!,"")</f>
        <v/>
      </c>
      <c r="N32">
        <f t="shared" si="5"/>
        <v>-51</v>
      </c>
      <c r="AT32" s="12" t="e">
        <f t="shared" si="2"/>
        <v>#N/A</v>
      </c>
      <c r="AU32">
        <f t="shared" si="2"/>
        <v>382</v>
      </c>
      <c r="AV32" t="e">
        <f t="shared" si="2"/>
        <v>#N/A</v>
      </c>
      <c r="AW32" t="e">
        <f t="shared" si="2"/>
        <v>#N/A</v>
      </c>
      <c r="AX32" t="e">
        <f t="shared" si="2"/>
        <v>#N/A</v>
      </c>
      <c r="AY32" t="e">
        <f t="shared" si="2"/>
        <v>#N/A</v>
      </c>
      <c r="AZ32" s="13" t="e">
        <f t="shared" si="2"/>
        <v>#N/A</v>
      </c>
      <c r="BB32">
        <v>116</v>
      </c>
    </row>
    <row r="33" spans="2:54" x14ac:dyDescent="0.45">
      <c r="B33" s="11">
        <v>2</v>
      </c>
      <c r="C33" s="13">
        <v>16</v>
      </c>
      <c r="D33">
        <v>2</v>
      </c>
      <c r="E33">
        <v>1</v>
      </c>
      <c r="F33">
        <f t="shared" si="3"/>
        <v>1</v>
      </c>
      <c r="G33">
        <v>79</v>
      </c>
      <c r="H33" s="13">
        <f t="shared" si="6"/>
        <v>130</v>
      </c>
      <c r="I33">
        <f t="shared" si="7"/>
        <v>382</v>
      </c>
      <c r="J33">
        <f t="shared" si="4"/>
        <v>331</v>
      </c>
      <c r="K33">
        <f t="shared" si="8"/>
        <v>0</v>
      </c>
      <c r="L33">
        <f t="shared" si="9"/>
        <v>130</v>
      </c>
      <c r="M33" s="13" t="str">
        <f>IF(B34&lt;&gt;B33,J33-#REF!,"")</f>
        <v/>
      </c>
      <c r="N33">
        <f t="shared" si="5"/>
        <v>-46</v>
      </c>
      <c r="AT33" s="12" t="e">
        <f t="shared" si="2"/>
        <v>#N/A</v>
      </c>
      <c r="AU33">
        <f t="shared" si="2"/>
        <v>331</v>
      </c>
      <c r="AV33" t="e">
        <f t="shared" si="2"/>
        <v>#N/A</v>
      </c>
      <c r="AW33" t="e">
        <f t="shared" si="2"/>
        <v>#N/A</v>
      </c>
      <c r="AX33" t="e">
        <f t="shared" si="2"/>
        <v>#N/A</v>
      </c>
      <c r="AY33" t="e">
        <f t="shared" si="2"/>
        <v>#N/A</v>
      </c>
      <c r="AZ33" s="13" t="e">
        <f t="shared" si="2"/>
        <v>#N/A</v>
      </c>
      <c r="BB33">
        <v>79</v>
      </c>
    </row>
    <row r="34" spans="2:54" x14ac:dyDescent="0.45">
      <c r="B34" s="11">
        <v>2</v>
      </c>
      <c r="C34" s="13">
        <v>17</v>
      </c>
      <c r="D34">
        <v>3</v>
      </c>
      <c r="E34">
        <v>1</v>
      </c>
      <c r="F34">
        <f t="shared" si="3"/>
        <v>1</v>
      </c>
      <c r="G34">
        <v>84</v>
      </c>
      <c r="H34" s="13">
        <f t="shared" si="6"/>
        <v>130</v>
      </c>
      <c r="I34">
        <f t="shared" si="7"/>
        <v>331</v>
      </c>
      <c r="J34">
        <f t="shared" si="4"/>
        <v>285</v>
      </c>
      <c r="K34">
        <f t="shared" si="8"/>
        <v>0</v>
      </c>
      <c r="L34">
        <f t="shared" si="9"/>
        <v>130</v>
      </c>
      <c r="M34" s="13" t="str">
        <f>IF(B35&lt;&gt;B34,J34-#REF!,"")</f>
        <v/>
      </c>
      <c r="N34">
        <f t="shared" si="5"/>
        <v>-52</v>
      </c>
      <c r="AT34" s="12" t="e">
        <f t="shared" ref="AT34:AZ49" si="14">IF($B34=AT$17,$J34,NA())</f>
        <v>#N/A</v>
      </c>
      <c r="AU34">
        <f t="shared" si="14"/>
        <v>285</v>
      </c>
      <c r="AV34" t="e">
        <f t="shared" si="14"/>
        <v>#N/A</v>
      </c>
      <c r="AW34" t="e">
        <f t="shared" si="14"/>
        <v>#N/A</v>
      </c>
      <c r="AX34" t="e">
        <f t="shared" si="14"/>
        <v>#N/A</v>
      </c>
      <c r="AY34" t="e">
        <f t="shared" si="14"/>
        <v>#N/A</v>
      </c>
      <c r="AZ34" s="13" t="e">
        <f t="shared" si="14"/>
        <v>#N/A</v>
      </c>
      <c r="BB34">
        <v>84</v>
      </c>
    </row>
    <row r="35" spans="2:54" x14ac:dyDescent="0.45">
      <c r="B35" s="11">
        <v>2</v>
      </c>
      <c r="C35" s="13">
        <v>18</v>
      </c>
      <c r="D35">
        <v>4</v>
      </c>
      <c r="E35">
        <v>1</v>
      </c>
      <c r="F35">
        <f t="shared" si="3"/>
        <v>1</v>
      </c>
      <c r="G35">
        <v>78</v>
      </c>
      <c r="H35" s="13">
        <f t="shared" si="6"/>
        <v>130</v>
      </c>
      <c r="I35">
        <f t="shared" si="7"/>
        <v>285</v>
      </c>
      <c r="J35">
        <f t="shared" si="4"/>
        <v>233</v>
      </c>
      <c r="K35">
        <f t="shared" si="8"/>
        <v>0</v>
      </c>
      <c r="L35">
        <f t="shared" si="9"/>
        <v>130</v>
      </c>
      <c r="M35" s="13" t="str">
        <f t="shared" ref="M35:M42" si="15">IF(B36&lt;&gt;B35,J35-I1,"")</f>
        <v/>
      </c>
      <c r="N35">
        <f t="shared" si="5"/>
        <v>107</v>
      </c>
      <c r="AT35" s="12" t="e">
        <f t="shared" si="14"/>
        <v>#N/A</v>
      </c>
      <c r="AU35">
        <f t="shared" si="14"/>
        <v>233</v>
      </c>
      <c r="AV35" t="e">
        <f t="shared" si="14"/>
        <v>#N/A</v>
      </c>
      <c r="AW35" t="e">
        <f t="shared" si="14"/>
        <v>#N/A</v>
      </c>
      <c r="AX35" t="e">
        <f t="shared" si="14"/>
        <v>#N/A</v>
      </c>
      <c r="AY35" t="e">
        <f t="shared" si="14"/>
        <v>#N/A</v>
      </c>
      <c r="AZ35" s="13" t="e">
        <f t="shared" si="14"/>
        <v>#N/A</v>
      </c>
      <c r="BB35">
        <v>78</v>
      </c>
    </row>
    <row r="36" spans="2:54" x14ac:dyDescent="0.45">
      <c r="B36" s="11">
        <v>2</v>
      </c>
      <c r="C36" s="13">
        <v>19</v>
      </c>
      <c r="D36">
        <v>5</v>
      </c>
      <c r="E36">
        <v>1</v>
      </c>
      <c r="F36">
        <f t="shared" si="3"/>
        <v>0</v>
      </c>
      <c r="G36">
        <v>107</v>
      </c>
      <c r="H36" s="13">
        <f t="shared" si="6"/>
        <v>0</v>
      </c>
      <c r="I36">
        <f t="shared" si="7"/>
        <v>233</v>
      </c>
      <c r="J36">
        <f t="shared" si="4"/>
        <v>340</v>
      </c>
      <c r="K36">
        <f t="shared" si="8"/>
        <v>0</v>
      </c>
      <c r="L36" t="str">
        <f t="shared" si="9"/>
        <v/>
      </c>
      <c r="M36" s="13" t="str">
        <f t="shared" si="15"/>
        <v/>
      </c>
      <c r="N36">
        <f t="shared" si="5"/>
        <v>0</v>
      </c>
      <c r="AT36" s="12" t="e">
        <f t="shared" si="14"/>
        <v>#N/A</v>
      </c>
      <c r="AU36">
        <f t="shared" si="14"/>
        <v>340</v>
      </c>
      <c r="AV36" t="e">
        <f t="shared" si="14"/>
        <v>#N/A</v>
      </c>
      <c r="AW36" t="e">
        <f t="shared" si="14"/>
        <v>#N/A</v>
      </c>
      <c r="AX36" t="e">
        <f t="shared" si="14"/>
        <v>#N/A</v>
      </c>
      <c r="AY36" t="e">
        <f t="shared" si="14"/>
        <v>#N/A</v>
      </c>
      <c r="AZ36" s="13" t="e">
        <f t="shared" si="14"/>
        <v>#N/A</v>
      </c>
      <c r="BB36">
        <v>185</v>
      </c>
    </row>
    <row r="37" spans="2:54" x14ac:dyDescent="0.45">
      <c r="B37" s="11">
        <v>2</v>
      </c>
      <c r="C37" s="13">
        <v>20</v>
      </c>
      <c r="D37">
        <v>6</v>
      </c>
      <c r="E37">
        <v>0</v>
      </c>
      <c r="F37">
        <f t="shared" si="3"/>
        <v>0</v>
      </c>
      <c r="G37">
        <v>0</v>
      </c>
      <c r="H37" s="13">
        <f t="shared" si="6"/>
        <v>0</v>
      </c>
      <c r="I37">
        <f t="shared" si="7"/>
        <v>340</v>
      </c>
      <c r="J37">
        <f t="shared" si="4"/>
        <v>340</v>
      </c>
      <c r="K37">
        <f t="shared" si="8"/>
        <v>0</v>
      </c>
      <c r="L37" t="str">
        <f t="shared" si="9"/>
        <v/>
      </c>
      <c r="M37" s="13" t="str">
        <f t="shared" si="15"/>
        <v/>
      </c>
      <c r="N37">
        <f t="shared" si="5"/>
        <v>0</v>
      </c>
      <c r="AT37" s="12" t="e">
        <f t="shared" si="14"/>
        <v>#N/A</v>
      </c>
      <c r="AU37">
        <f t="shared" si="14"/>
        <v>340</v>
      </c>
      <c r="AV37" t="e">
        <f t="shared" si="14"/>
        <v>#N/A</v>
      </c>
      <c r="AW37" t="e">
        <f t="shared" si="14"/>
        <v>#N/A</v>
      </c>
      <c r="AX37" t="e">
        <f t="shared" si="14"/>
        <v>#N/A</v>
      </c>
      <c r="AY37" t="e">
        <f t="shared" si="14"/>
        <v>#N/A</v>
      </c>
      <c r="AZ37" s="13" t="e">
        <f t="shared" si="14"/>
        <v>#N/A</v>
      </c>
      <c r="BB37">
        <v>185</v>
      </c>
    </row>
    <row r="38" spans="2:54" x14ac:dyDescent="0.45">
      <c r="B38" s="11">
        <v>2</v>
      </c>
      <c r="C38" s="13">
        <v>21</v>
      </c>
      <c r="D38" s="15">
        <v>7</v>
      </c>
      <c r="E38" s="15">
        <v>0</v>
      </c>
      <c r="F38">
        <f t="shared" si="3"/>
        <v>0</v>
      </c>
      <c r="G38" s="15">
        <v>0</v>
      </c>
      <c r="H38" s="13">
        <f t="shared" si="6"/>
        <v>0</v>
      </c>
      <c r="I38">
        <f t="shared" si="7"/>
        <v>340</v>
      </c>
      <c r="J38">
        <f t="shared" si="4"/>
        <v>340</v>
      </c>
      <c r="K38">
        <f t="shared" si="8"/>
        <v>0</v>
      </c>
      <c r="L38" t="str">
        <f t="shared" si="9"/>
        <v/>
      </c>
      <c r="M38" s="13" t="str">
        <f t="shared" si="15"/>
        <v/>
      </c>
      <c r="N38">
        <f t="shared" si="5"/>
        <v>-28</v>
      </c>
      <c r="AT38" s="12" t="e">
        <f t="shared" si="14"/>
        <v>#N/A</v>
      </c>
      <c r="AU38">
        <f t="shared" si="14"/>
        <v>340</v>
      </c>
      <c r="AV38" t="e">
        <f t="shared" si="14"/>
        <v>#N/A</v>
      </c>
      <c r="AW38" t="e">
        <f t="shared" si="14"/>
        <v>#N/A</v>
      </c>
      <c r="AX38" t="e">
        <f t="shared" si="14"/>
        <v>#N/A</v>
      </c>
      <c r="AY38" t="e">
        <f t="shared" si="14"/>
        <v>#N/A</v>
      </c>
      <c r="AZ38" s="13" t="e">
        <f t="shared" si="14"/>
        <v>#N/A</v>
      </c>
      <c r="BB38">
        <v>185</v>
      </c>
    </row>
    <row r="39" spans="2:54" x14ac:dyDescent="0.45">
      <c r="B39" s="11">
        <v>2</v>
      </c>
      <c r="C39" s="13">
        <v>22</v>
      </c>
      <c r="D39" s="8">
        <v>1</v>
      </c>
      <c r="E39" s="8">
        <v>1</v>
      </c>
      <c r="F39">
        <f t="shared" si="3"/>
        <v>1</v>
      </c>
      <c r="G39" s="8">
        <v>102</v>
      </c>
      <c r="H39" s="13">
        <f t="shared" si="6"/>
        <v>130</v>
      </c>
      <c r="I39">
        <f t="shared" si="7"/>
        <v>340</v>
      </c>
      <c r="J39">
        <f t="shared" si="4"/>
        <v>312</v>
      </c>
      <c r="K39">
        <f t="shared" si="8"/>
        <v>0</v>
      </c>
      <c r="L39">
        <f t="shared" si="9"/>
        <v>130</v>
      </c>
      <c r="M39" s="13" t="str">
        <f t="shared" si="15"/>
        <v/>
      </c>
      <c r="N39">
        <f t="shared" si="5"/>
        <v>-46</v>
      </c>
      <c r="AT39" s="12" t="e">
        <f t="shared" si="14"/>
        <v>#N/A</v>
      </c>
      <c r="AU39">
        <f t="shared" si="14"/>
        <v>312</v>
      </c>
      <c r="AV39" t="e">
        <f t="shared" si="14"/>
        <v>#N/A</v>
      </c>
      <c r="AW39" t="e">
        <f t="shared" si="14"/>
        <v>#N/A</v>
      </c>
      <c r="AX39" t="e">
        <f t="shared" si="14"/>
        <v>#N/A</v>
      </c>
      <c r="AY39" t="e">
        <f t="shared" si="14"/>
        <v>#N/A</v>
      </c>
      <c r="AZ39" s="13" t="e">
        <f t="shared" si="14"/>
        <v>#N/A</v>
      </c>
      <c r="BB39">
        <v>157</v>
      </c>
    </row>
    <row r="40" spans="2:54" x14ac:dyDescent="0.45">
      <c r="B40" s="11">
        <v>2</v>
      </c>
      <c r="C40" s="13">
        <v>23</v>
      </c>
      <c r="D40">
        <v>2</v>
      </c>
      <c r="E40">
        <v>1</v>
      </c>
      <c r="F40">
        <f t="shared" si="3"/>
        <v>1</v>
      </c>
      <c r="G40">
        <v>84</v>
      </c>
      <c r="H40" s="13">
        <f t="shared" si="6"/>
        <v>130</v>
      </c>
      <c r="I40">
        <f t="shared" si="7"/>
        <v>312</v>
      </c>
      <c r="J40">
        <f t="shared" si="4"/>
        <v>266</v>
      </c>
      <c r="K40">
        <f t="shared" si="8"/>
        <v>0</v>
      </c>
      <c r="L40">
        <f t="shared" si="9"/>
        <v>130</v>
      </c>
      <c r="M40" s="13" t="str">
        <f t="shared" si="15"/>
        <v/>
      </c>
      <c r="N40">
        <f t="shared" si="5"/>
        <v>-51</v>
      </c>
      <c r="AT40" s="12" t="e">
        <f t="shared" si="14"/>
        <v>#N/A</v>
      </c>
      <c r="AU40">
        <f t="shared" si="14"/>
        <v>266</v>
      </c>
      <c r="AV40" t="e">
        <f t="shared" si="14"/>
        <v>#N/A</v>
      </c>
      <c r="AW40" t="e">
        <f t="shared" si="14"/>
        <v>#N/A</v>
      </c>
      <c r="AX40" t="e">
        <f t="shared" si="14"/>
        <v>#N/A</v>
      </c>
      <c r="AY40" t="e">
        <f t="shared" si="14"/>
        <v>#N/A</v>
      </c>
      <c r="AZ40" s="13" t="e">
        <f t="shared" si="14"/>
        <v>#N/A</v>
      </c>
      <c r="BB40">
        <v>111</v>
      </c>
    </row>
    <row r="41" spans="2:54" x14ac:dyDescent="0.45">
      <c r="B41" s="11">
        <v>2</v>
      </c>
      <c r="C41" s="13">
        <v>24</v>
      </c>
      <c r="D41">
        <v>3</v>
      </c>
      <c r="E41">
        <v>1</v>
      </c>
      <c r="F41">
        <f t="shared" si="3"/>
        <v>1</v>
      </c>
      <c r="G41">
        <v>79</v>
      </c>
      <c r="H41" s="13">
        <f t="shared" si="6"/>
        <v>130</v>
      </c>
      <c r="I41">
        <f t="shared" si="7"/>
        <v>266</v>
      </c>
      <c r="J41">
        <f t="shared" si="4"/>
        <v>215</v>
      </c>
      <c r="K41">
        <f t="shared" si="8"/>
        <v>0</v>
      </c>
      <c r="L41">
        <f t="shared" si="9"/>
        <v>130</v>
      </c>
      <c r="M41" s="13" t="str">
        <f t="shared" si="15"/>
        <v/>
      </c>
      <c r="N41">
        <f t="shared" si="5"/>
        <v>-20</v>
      </c>
      <c r="AT41" s="12" t="e">
        <f t="shared" si="14"/>
        <v>#N/A</v>
      </c>
      <c r="AU41">
        <f t="shared" si="14"/>
        <v>215</v>
      </c>
      <c r="AV41" t="e">
        <f t="shared" si="14"/>
        <v>#N/A</v>
      </c>
      <c r="AW41" t="e">
        <f t="shared" si="14"/>
        <v>#N/A</v>
      </c>
      <c r="AX41" t="e">
        <f t="shared" si="14"/>
        <v>#N/A</v>
      </c>
      <c r="AY41" t="e">
        <f t="shared" si="14"/>
        <v>#N/A</v>
      </c>
      <c r="AZ41" s="13" t="e">
        <f t="shared" si="14"/>
        <v>#N/A</v>
      </c>
      <c r="BB41">
        <v>79</v>
      </c>
    </row>
    <row r="42" spans="2:54" x14ac:dyDescent="0.45">
      <c r="B42" s="11">
        <v>2</v>
      </c>
      <c r="C42" s="13">
        <v>25</v>
      </c>
      <c r="D42">
        <v>4</v>
      </c>
      <c r="E42">
        <v>1</v>
      </c>
      <c r="F42">
        <f t="shared" si="3"/>
        <v>1</v>
      </c>
      <c r="G42">
        <v>110</v>
      </c>
      <c r="H42" s="13">
        <f t="shared" si="6"/>
        <v>130</v>
      </c>
      <c r="I42">
        <f t="shared" si="7"/>
        <v>215</v>
      </c>
      <c r="J42">
        <f t="shared" si="4"/>
        <v>195</v>
      </c>
      <c r="K42">
        <f t="shared" si="8"/>
        <v>0</v>
      </c>
      <c r="L42">
        <f t="shared" si="9"/>
        <v>130</v>
      </c>
      <c r="M42" s="13" t="str">
        <f t="shared" si="15"/>
        <v/>
      </c>
      <c r="N42">
        <f t="shared" si="5"/>
        <v>106</v>
      </c>
      <c r="AT42" s="12" t="e">
        <f t="shared" si="14"/>
        <v>#N/A</v>
      </c>
      <c r="AU42">
        <f t="shared" si="14"/>
        <v>195</v>
      </c>
      <c r="AV42" t="e">
        <f t="shared" si="14"/>
        <v>#N/A</v>
      </c>
      <c r="AW42" t="e">
        <f t="shared" si="14"/>
        <v>#N/A</v>
      </c>
      <c r="AX42" t="e">
        <f t="shared" si="14"/>
        <v>#N/A</v>
      </c>
      <c r="AY42" t="e">
        <f t="shared" si="14"/>
        <v>#N/A</v>
      </c>
      <c r="AZ42" s="13" t="e">
        <f t="shared" si="14"/>
        <v>#N/A</v>
      </c>
      <c r="BB42">
        <v>110</v>
      </c>
    </row>
    <row r="43" spans="2:54" x14ac:dyDescent="0.45">
      <c r="B43" s="11">
        <v>2</v>
      </c>
      <c r="C43" s="13">
        <v>26</v>
      </c>
      <c r="D43">
        <v>5</v>
      </c>
      <c r="E43">
        <v>1</v>
      </c>
      <c r="F43">
        <f t="shared" si="3"/>
        <v>0</v>
      </c>
      <c r="G43">
        <v>106</v>
      </c>
      <c r="H43" s="13">
        <f t="shared" si="6"/>
        <v>0</v>
      </c>
      <c r="I43">
        <f t="shared" si="7"/>
        <v>195</v>
      </c>
      <c r="J43">
        <f t="shared" si="4"/>
        <v>301</v>
      </c>
      <c r="K43">
        <f t="shared" si="8"/>
        <v>0</v>
      </c>
      <c r="L43" t="str">
        <f t="shared" si="9"/>
        <v/>
      </c>
      <c r="M43" s="13" t="str">
        <f t="shared" ref="M43:M44" si="16">IF(B44&lt;&gt;B43,J43-I16,"")</f>
        <v/>
      </c>
      <c r="N43">
        <f t="shared" si="5"/>
        <v>0</v>
      </c>
      <c r="AT43" s="12" t="e">
        <f t="shared" si="14"/>
        <v>#N/A</v>
      </c>
      <c r="AU43">
        <f t="shared" si="14"/>
        <v>301</v>
      </c>
      <c r="AV43" t="e">
        <f t="shared" si="14"/>
        <v>#N/A</v>
      </c>
      <c r="AW43" t="e">
        <f t="shared" si="14"/>
        <v>#N/A</v>
      </c>
      <c r="AX43" t="e">
        <f t="shared" si="14"/>
        <v>#N/A</v>
      </c>
      <c r="AY43" t="e">
        <f t="shared" si="14"/>
        <v>#N/A</v>
      </c>
      <c r="AZ43" s="13" t="e">
        <f t="shared" si="14"/>
        <v>#N/A</v>
      </c>
      <c r="BB43">
        <v>216</v>
      </c>
    </row>
    <row r="44" spans="2:54" x14ac:dyDescent="0.45">
      <c r="B44" s="11">
        <v>2</v>
      </c>
      <c r="C44" s="13">
        <v>27</v>
      </c>
      <c r="D44">
        <v>6</v>
      </c>
      <c r="E44">
        <v>0</v>
      </c>
      <c r="F44">
        <f t="shared" si="3"/>
        <v>0</v>
      </c>
      <c r="G44">
        <v>0</v>
      </c>
      <c r="H44" s="13">
        <f t="shared" si="6"/>
        <v>0</v>
      </c>
      <c r="I44">
        <f t="shared" si="7"/>
        <v>301</v>
      </c>
      <c r="J44">
        <f t="shared" si="4"/>
        <v>301</v>
      </c>
      <c r="K44">
        <f t="shared" si="8"/>
        <v>0</v>
      </c>
      <c r="L44" t="str">
        <f t="shared" si="9"/>
        <v/>
      </c>
      <c r="M44" s="13" t="str">
        <f t="shared" si="16"/>
        <v/>
      </c>
      <c r="N44">
        <f t="shared" si="5"/>
        <v>0</v>
      </c>
      <c r="AT44" s="12" t="e">
        <f t="shared" si="14"/>
        <v>#N/A</v>
      </c>
      <c r="AU44">
        <f t="shared" si="14"/>
        <v>301</v>
      </c>
      <c r="AV44" t="e">
        <f t="shared" si="14"/>
        <v>#N/A</v>
      </c>
      <c r="AW44" t="e">
        <f t="shared" si="14"/>
        <v>#N/A</v>
      </c>
      <c r="AX44" t="e">
        <f t="shared" si="14"/>
        <v>#N/A</v>
      </c>
      <c r="AY44" t="e">
        <f t="shared" si="14"/>
        <v>#N/A</v>
      </c>
      <c r="AZ44" s="13" t="e">
        <f t="shared" si="14"/>
        <v>#N/A</v>
      </c>
      <c r="BB44">
        <v>216</v>
      </c>
    </row>
    <row r="45" spans="2:54" x14ac:dyDescent="0.45">
      <c r="B45" s="17">
        <v>2</v>
      </c>
      <c r="C45" s="13">
        <v>28</v>
      </c>
      <c r="D45" s="15">
        <v>7</v>
      </c>
      <c r="E45" s="15">
        <v>0</v>
      </c>
      <c r="F45">
        <f t="shared" si="3"/>
        <v>0</v>
      </c>
      <c r="G45" s="15">
        <v>0</v>
      </c>
      <c r="H45" s="13">
        <f t="shared" si="6"/>
        <v>0</v>
      </c>
      <c r="I45">
        <f t="shared" si="7"/>
        <v>301</v>
      </c>
      <c r="J45">
        <f t="shared" si="4"/>
        <v>301</v>
      </c>
      <c r="K45">
        <f t="shared" si="8"/>
        <v>0</v>
      </c>
      <c r="L45" t="str">
        <f t="shared" si="9"/>
        <v/>
      </c>
      <c r="M45" s="13">
        <f>IF(B46&lt;&gt;B45,J45-I18,"")</f>
        <v>301</v>
      </c>
      <c r="N45">
        <f t="shared" si="5"/>
        <v>-37</v>
      </c>
      <c r="AT45" s="12" t="e">
        <f t="shared" si="14"/>
        <v>#N/A</v>
      </c>
      <c r="AU45">
        <f t="shared" si="14"/>
        <v>301</v>
      </c>
      <c r="AV45" t="e">
        <f t="shared" si="14"/>
        <v>#N/A</v>
      </c>
      <c r="AW45" t="e">
        <f t="shared" si="14"/>
        <v>#N/A</v>
      </c>
      <c r="AX45" t="e">
        <f t="shared" si="14"/>
        <v>#N/A</v>
      </c>
      <c r="AY45" t="e">
        <f t="shared" si="14"/>
        <v>#N/A</v>
      </c>
      <c r="AZ45" s="13" t="e">
        <f t="shared" si="14"/>
        <v>#N/A</v>
      </c>
      <c r="BB45">
        <v>216</v>
      </c>
    </row>
    <row r="46" spans="2:54" x14ac:dyDescent="0.45">
      <c r="B46" s="7">
        <v>3</v>
      </c>
      <c r="C46" s="13">
        <v>29</v>
      </c>
      <c r="D46" s="8">
        <v>1</v>
      </c>
      <c r="E46" s="8">
        <v>1</v>
      </c>
      <c r="F46">
        <f t="shared" si="3"/>
        <v>1</v>
      </c>
      <c r="G46" s="8">
        <v>93</v>
      </c>
      <c r="H46" s="13">
        <f t="shared" si="6"/>
        <v>130</v>
      </c>
      <c r="I46">
        <f t="shared" si="7"/>
        <v>301</v>
      </c>
      <c r="J46">
        <f t="shared" si="4"/>
        <v>264</v>
      </c>
      <c r="K46">
        <f t="shared" si="8"/>
        <v>0</v>
      </c>
      <c r="L46">
        <f t="shared" si="9"/>
        <v>130</v>
      </c>
      <c r="M46" s="13" t="str">
        <f t="shared" ref="M46:M109" si="17">IF(B47&lt;&gt;B46,J46-I19,"")</f>
        <v/>
      </c>
      <c r="N46">
        <f t="shared" si="5"/>
        <v>-17</v>
      </c>
      <c r="AT46" s="12" t="e">
        <f t="shared" si="14"/>
        <v>#N/A</v>
      </c>
      <c r="AU46" t="e">
        <f t="shared" si="14"/>
        <v>#N/A</v>
      </c>
      <c r="AV46">
        <f t="shared" si="14"/>
        <v>264</v>
      </c>
      <c r="AW46" t="e">
        <f t="shared" si="14"/>
        <v>#N/A</v>
      </c>
      <c r="AX46" t="e">
        <f t="shared" si="14"/>
        <v>#N/A</v>
      </c>
      <c r="AY46" t="e">
        <f t="shared" si="14"/>
        <v>#N/A</v>
      </c>
      <c r="AZ46" s="13" t="e">
        <f t="shared" si="14"/>
        <v>#N/A</v>
      </c>
      <c r="BB46">
        <v>179</v>
      </c>
    </row>
    <row r="47" spans="2:54" x14ac:dyDescent="0.45">
      <c r="B47" s="11">
        <v>3</v>
      </c>
      <c r="C47" s="13">
        <v>30</v>
      </c>
      <c r="D47">
        <v>2</v>
      </c>
      <c r="E47">
        <v>1</v>
      </c>
      <c r="F47">
        <f t="shared" si="3"/>
        <v>1</v>
      </c>
      <c r="G47">
        <v>113</v>
      </c>
      <c r="H47" s="13">
        <f t="shared" si="6"/>
        <v>130</v>
      </c>
      <c r="I47">
        <f t="shared" si="7"/>
        <v>264</v>
      </c>
      <c r="J47">
        <f t="shared" si="4"/>
        <v>247</v>
      </c>
      <c r="K47">
        <f t="shared" si="8"/>
        <v>0</v>
      </c>
      <c r="L47">
        <f t="shared" si="9"/>
        <v>130</v>
      </c>
      <c r="M47" s="13" t="str">
        <f t="shared" si="17"/>
        <v/>
      </c>
      <c r="N47">
        <f t="shared" si="5"/>
        <v>-81</v>
      </c>
      <c r="AT47" s="12" t="e">
        <f t="shared" si="14"/>
        <v>#N/A</v>
      </c>
      <c r="AU47" t="e">
        <f t="shared" si="14"/>
        <v>#N/A</v>
      </c>
      <c r="AV47">
        <f t="shared" si="14"/>
        <v>247</v>
      </c>
      <c r="AW47" t="e">
        <f t="shared" si="14"/>
        <v>#N/A</v>
      </c>
      <c r="AX47" t="e">
        <f t="shared" si="14"/>
        <v>#N/A</v>
      </c>
      <c r="AY47" t="e">
        <f t="shared" si="14"/>
        <v>#N/A</v>
      </c>
      <c r="AZ47" s="13" t="e">
        <f t="shared" si="14"/>
        <v>#N/A</v>
      </c>
      <c r="BB47">
        <v>162</v>
      </c>
    </row>
    <row r="48" spans="2:54" x14ac:dyDescent="0.45">
      <c r="B48" s="11">
        <v>3</v>
      </c>
      <c r="C48" s="13">
        <v>31</v>
      </c>
      <c r="D48">
        <v>3</v>
      </c>
      <c r="E48">
        <v>1</v>
      </c>
      <c r="F48">
        <f t="shared" si="3"/>
        <v>1</v>
      </c>
      <c r="G48">
        <v>49</v>
      </c>
      <c r="H48" s="13">
        <f t="shared" si="6"/>
        <v>130</v>
      </c>
      <c r="I48">
        <f t="shared" si="7"/>
        <v>247</v>
      </c>
      <c r="J48">
        <f t="shared" si="4"/>
        <v>166</v>
      </c>
      <c r="K48">
        <f t="shared" si="8"/>
        <v>0</v>
      </c>
      <c r="L48">
        <f t="shared" si="9"/>
        <v>130</v>
      </c>
      <c r="M48" s="13" t="str">
        <f t="shared" si="17"/>
        <v/>
      </c>
      <c r="N48">
        <f t="shared" si="5"/>
        <v>22</v>
      </c>
      <c r="AT48" s="12" t="e">
        <f t="shared" si="14"/>
        <v>#N/A</v>
      </c>
      <c r="AU48" t="e">
        <f t="shared" si="14"/>
        <v>#N/A</v>
      </c>
      <c r="AV48">
        <f t="shared" si="14"/>
        <v>166</v>
      </c>
      <c r="AW48" t="e">
        <f t="shared" si="14"/>
        <v>#N/A</v>
      </c>
      <c r="AX48" t="e">
        <f t="shared" si="14"/>
        <v>#N/A</v>
      </c>
      <c r="AY48" t="e">
        <f t="shared" si="14"/>
        <v>#N/A</v>
      </c>
      <c r="AZ48" s="13" t="e">
        <f t="shared" si="14"/>
        <v>#N/A</v>
      </c>
      <c r="BB48">
        <v>81</v>
      </c>
    </row>
    <row r="49" spans="2:54" x14ac:dyDescent="0.45">
      <c r="B49" s="11">
        <v>3</v>
      </c>
      <c r="C49" s="13">
        <v>32</v>
      </c>
      <c r="D49">
        <v>4</v>
      </c>
      <c r="E49">
        <v>1</v>
      </c>
      <c r="F49">
        <f t="shared" si="3"/>
        <v>1</v>
      </c>
      <c r="G49">
        <v>152</v>
      </c>
      <c r="H49" s="13">
        <f t="shared" si="6"/>
        <v>130</v>
      </c>
      <c r="I49">
        <f t="shared" si="7"/>
        <v>166</v>
      </c>
      <c r="J49">
        <f t="shared" si="4"/>
        <v>188</v>
      </c>
      <c r="K49">
        <f t="shared" si="8"/>
        <v>0</v>
      </c>
      <c r="L49">
        <f t="shared" si="9"/>
        <v>130</v>
      </c>
      <c r="M49" s="13" t="str">
        <f t="shared" si="17"/>
        <v/>
      </c>
      <c r="N49">
        <f t="shared" si="5"/>
        <v>41</v>
      </c>
      <c r="AT49" s="12" t="e">
        <f t="shared" si="14"/>
        <v>#N/A</v>
      </c>
      <c r="AU49" t="e">
        <f t="shared" si="14"/>
        <v>#N/A</v>
      </c>
      <c r="AV49">
        <f t="shared" si="14"/>
        <v>188</v>
      </c>
      <c r="AW49" t="e">
        <f t="shared" si="14"/>
        <v>#N/A</v>
      </c>
      <c r="AX49" t="e">
        <f t="shared" si="14"/>
        <v>#N/A</v>
      </c>
      <c r="AY49" t="e">
        <f t="shared" si="14"/>
        <v>#N/A</v>
      </c>
      <c r="AZ49" s="13" t="e">
        <f t="shared" si="14"/>
        <v>#N/A</v>
      </c>
      <c r="BB49">
        <v>152</v>
      </c>
    </row>
    <row r="50" spans="2:54" x14ac:dyDescent="0.45">
      <c r="B50" s="11">
        <v>3</v>
      </c>
      <c r="C50" s="13">
        <v>33</v>
      </c>
      <c r="D50">
        <v>5</v>
      </c>
      <c r="E50">
        <v>1</v>
      </c>
      <c r="F50">
        <f t="shared" si="3"/>
        <v>0</v>
      </c>
      <c r="G50">
        <v>41</v>
      </c>
      <c r="H50" s="13">
        <f t="shared" si="6"/>
        <v>0</v>
      </c>
      <c r="I50">
        <f t="shared" si="7"/>
        <v>188</v>
      </c>
      <c r="J50">
        <f t="shared" si="4"/>
        <v>229</v>
      </c>
      <c r="K50">
        <f t="shared" si="8"/>
        <v>0</v>
      </c>
      <c r="L50" t="str">
        <f t="shared" si="9"/>
        <v/>
      </c>
      <c r="M50" s="13" t="str">
        <f t="shared" si="17"/>
        <v/>
      </c>
      <c r="N50">
        <f t="shared" si="5"/>
        <v>0</v>
      </c>
      <c r="AT50" s="12" t="e">
        <f t="shared" ref="AT50:AZ65" si="18">IF($B50=AT$17,$J50,NA())</f>
        <v>#N/A</v>
      </c>
      <c r="AU50" t="e">
        <f t="shared" si="18"/>
        <v>#N/A</v>
      </c>
      <c r="AV50">
        <f t="shared" si="18"/>
        <v>229</v>
      </c>
      <c r="AW50" t="e">
        <f t="shared" si="18"/>
        <v>#N/A</v>
      </c>
      <c r="AX50" t="e">
        <f t="shared" si="18"/>
        <v>#N/A</v>
      </c>
      <c r="AY50" t="e">
        <f t="shared" si="18"/>
        <v>#N/A</v>
      </c>
      <c r="AZ50" s="13" t="e">
        <f t="shared" si="18"/>
        <v>#N/A</v>
      </c>
      <c r="BB50">
        <v>63</v>
      </c>
    </row>
    <row r="51" spans="2:54" x14ac:dyDescent="0.45">
      <c r="B51" s="11">
        <v>3</v>
      </c>
      <c r="C51" s="13">
        <v>34</v>
      </c>
      <c r="D51">
        <v>6</v>
      </c>
      <c r="E51">
        <v>0</v>
      </c>
      <c r="F51">
        <f t="shared" si="3"/>
        <v>0</v>
      </c>
      <c r="G51">
        <v>0</v>
      </c>
      <c r="H51" s="13">
        <f t="shared" si="6"/>
        <v>0</v>
      </c>
      <c r="I51">
        <f t="shared" si="7"/>
        <v>229</v>
      </c>
      <c r="J51">
        <f t="shared" si="4"/>
        <v>229</v>
      </c>
      <c r="K51">
        <f t="shared" si="8"/>
        <v>0</v>
      </c>
      <c r="L51" t="str">
        <f t="shared" si="9"/>
        <v/>
      </c>
      <c r="M51" s="13" t="str">
        <f t="shared" si="17"/>
        <v/>
      </c>
      <c r="N51">
        <f t="shared" si="5"/>
        <v>0</v>
      </c>
      <c r="AT51" s="12" t="e">
        <f t="shared" si="18"/>
        <v>#N/A</v>
      </c>
      <c r="AU51" t="e">
        <f t="shared" si="18"/>
        <v>#N/A</v>
      </c>
      <c r="AV51">
        <f t="shared" si="18"/>
        <v>229</v>
      </c>
      <c r="AW51" t="e">
        <f t="shared" si="18"/>
        <v>#N/A</v>
      </c>
      <c r="AX51" t="e">
        <f t="shared" si="18"/>
        <v>#N/A</v>
      </c>
      <c r="AY51" t="e">
        <f t="shared" si="18"/>
        <v>#N/A</v>
      </c>
      <c r="AZ51" s="13" t="e">
        <f t="shared" si="18"/>
        <v>#N/A</v>
      </c>
      <c r="BB51">
        <v>63</v>
      </c>
    </row>
    <row r="52" spans="2:54" x14ac:dyDescent="0.45">
      <c r="B52" s="11">
        <v>3</v>
      </c>
      <c r="C52" s="13">
        <v>35</v>
      </c>
      <c r="D52" s="15">
        <v>7</v>
      </c>
      <c r="E52" s="15">
        <v>0</v>
      </c>
      <c r="F52">
        <f t="shared" si="3"/>
        <v>0</v>
      </c>
      <c r="G52" s="15">
        <v>0</v>
      </c>
      <c r="H52" s="13">
        <f t="shared" si="6"/>
        <v>0</v>
      </c>
      <c r="I52">
        <f t="shared" si="7"/>
        <v>229</v>
      </c>
      <c r="J52">
        <f t="shared" si="4"/>
        <v>229</v>
      </c>
      <c r="K52">
        <f t="shared" si="8"/>
        <v>0</v>
      </c>
      <c r="L52" t="str">
        <f t="shared" si="9"/>
        <v/>
      </c>
      <c r="M52" s="13" t="str">
        <f t="shared" si="17"/>
        <v/>
      </c>
      <c r="N52">
        <f t="shared" si="5"/>
        <v>14</v>
      </c>
      <c r="AT52" s="12" t="e">
        <f t="shared" si="18"/>
        <v>#N/A</v>
      </c>
      <c r="AU52" t="e">
        <f t="shared" si="18"/>
        <v>#N/A</v>
      </c>
      <c r="AV52">
        <f t="shared" si="18"/>
        <v>229</v>
      </c>
      <c r="AW52" t="e">
        <f t="shared" si="18"/>
        <v>#N/A</v>
      </c>
      <c r="AX52" t="e">
        <f t="shared" si="18"/>
        <v>#N/A</v>
      </c>
      <c r="AY52" t="e">
        <f t="shared" si="18"/>
        <v>#N/A</v>
      </c>
      <c r="AZ52" s="13" t="e">
        <f t="shared" si="18"/>
        <v>#N/A</v>
      </c>
      <c r="BB52">
        <v>63</v>
      </c>
    </row>
    <row r="53" spans="2:54" x14ac:dyDescent="0.45">
      <c r="B53" s="11">
        <v>3</v>
      </c>
      <c r="C53" s="13">
        <v>36</v>
      </c>
      <c r="D53" s="8">
        <v>1</v>
      </c>
      <c r="E53" s="8">
        <v>1</v>
      </c>
      <c r="F53">
        <f t="shared" si="3"/>
        <v>1</v>
      </c>
      <c r="G53" s="8">
        <v>144</v>
      </c>
      <c r="H53" s="13">
        <f t="shared" si="6"/>
        <v>130</v>
      </c>
      <c r="I53">
        <f t="shared" si="7"/>
        <v>229</v>
      </c>
      <c r="J53">
        <f t="shared" si="4"/>
        <v>243</v>
      </c>
      <c r="K53">
        <f t="shared" si="8"/>
        <v>0</v>
      </c>
      <c r="L53">
        <f t="shared" si="9"/>
        <v>130</v>
      </c>
      <c r="M53" s="13" t="str">
        <f t="shared" si="17"/>
        <v/>
      </c>
      <c r="N53">
        <f t="shared" si="5"/>
        <v>-13</v>
      </c>
      <c r="AT53" s="12" t="e">
        <f t="shared" si="18"/>
        <v>#N/A</v>
      </c>
      <c r="AU53" t="e">
        <f t="shared" si="18"/>
        <v>#N/A</v>
      </c>
      <c r="AV53">
        <f t="shared" si="18"/>
        <v>243</v>
      </c>
      <c r="AW53" t="e">
        <f t="shared" si="18"/>
        <v>#N/A</v>
      </c>
      <c r="AX53" t="e">
        <f t="shared" si="18"/>
        <v>#N/A</v>
      </c>
      <c r="AY53" t="e">
        <f t="shared" si="18"/>
        <v>#N/A</v>
      </c>
      <c r="AZ53" s="13" t="e">
        <f t="shared" si="18"/>
        <v>#N/A</v>
      </c>
      <c r="BB53">
        <v>144</v>
      </c>
    </row>
    <row r="54" spans="2:54" x14ac:dyDescent="0.45">
      <c r="B54" s="11">
        <v>3</v>
      </c>
      <c r="C54" s="13">
        <v>37</v>
      </c>
      <c r="D54">
        <v>2</v>
      </c>
      <c r="E54">
        <v>1</v>
      </c>
      <c r="F54">
        <f t="shared" si="3"/>
        <v>1</v>
      </c>
      <c r="G54">
        <v>117</v>
      </c>
      <c r="H54" s="13">
        <f t="shared" si="6"/>
        <v>130</v>
      </c>
      <c r="I54">
        <f t="shared" si="7"/>
        <v>243</v>
      </c>
      <c r="J54">
        <f t="shared" si="4"/>
        <v>230</v>
      </c>
      <c r="K54">
        <f t="shared" si="8"/>
        <v>0</v>
      </c>
      <c r="L54">
        <f t="shared" si="9"/>
        <v>130</v>
      </c>
      <c r="M54" s="13" t="str">
        <f t="shared" si="17"/>
        <v/>
      </c>
      <c r="N54">
        <f t="shared" si="5"/>
        <v>-13</v>
      </c>
      <c r="AT54" s="12" t="e">
        <f t="shared" si="18"/>
        <v>#N/A</v>
      </c>
      <c r="AU54" t="e">
        <f t="shared" si="18"/>
        <v>#N/A</v>
      </c>
      <c r="AV54">
        <f t="shared" si="18"/>
        <v>230</v>
      </c>
      <c r="AW54" t="e">
        <f t="shared" si="18"/>
        <v>#N/A</v>
      </c>
      <c r="AX54" t="e">
        <f t="shared" si="18"/>
        <v>#N/A</v>
      </c>
      <c r="AY54" t="e">
        <f t="shared" si="18"/>
        <v>#N/A</v>
      </c>
      <c r="AZ54" s="13" t="e">
        <f t="shared" si="18"/>
        <v>#N/A</v>
      </c>
      <c r="BB54">
        <v>131</v>
      </c>
    </row>
    <row r="55" spans="2:54" x14ac:dyDescent="0.45">
      <c r="B55" s="11">
        <v>3</v>
      </c>
      <c r="C55" s="13">
        <v>38</v>
      </c>
      <c r="D55">
        <v>3</v>
      </c>
      <c r="E55">
        <v>1</v>
      </c>
      <c r="F55">
        <f t="shared" si="3"/>
        <v>1</v>
      </c>
      <c r="G55">
        <v>117</v>
      </c>
      <c r="H55" s="13">
        <f t="shared" si="6"/>
        <v>130</v>
      </c>
      <c r="I55">
        <f t="shared" si="7"/>
        <v>230</v>
      </c>
      <c r="J55">
        <f t="shared" si="4"/>
        <v>217</v>
      </c>
      <c r="K55">
        <f t="shared" si="8"/>
        <v>0</v>
      </c>
      <c r="L55">
        <f t="shared" si="9"/>
        <v>130</v>
      </c>
      <c r="M55" s="13" t="str">
        <f t="shared" si="17"/>
        <v/>
      </c>
      <c r="N55">
        <f t="shared" si="5"/>
        <v>-10</v>
      </c>
      <c r="AT55" s="12" t="e">
        <f t="shared" si="18"/>
        <v>#N/A</v>
      </c>
      <c r="AU55" t="e">
        <f t="shared" si="18"/>
        <v>#N/A</v>
      </c>
      <c r="AV55">
        <f t="shared" si="18"/>
        <v>217</v>
      </c>
      <c r="AW55" t="e">
        <f t="shared" si="18"/>
        <v>#N/A</v>
      </c>
      <c r="AX55" t="e">
        <f t="shared" si="18"/>
        <v>#N/A</v>
      </c>
      <c r="AY55" t="e">
        <f t="shared" si="18"/>
        <v>#N/A</v>
      </c>
      <c r="AZ55" s="13" t="e">
        <f t="shared" si="18"/>
        <v>#N/A</v>
      </c>
      <c r="BB55">
        <v>118</v>
      </c>
    </row>
    <row r="56" spans="2:54" x14ac:dyDescent="0.45">
      <c r="B56" s="11">
        <v>3</v>
      </c>
      <c r="C56" s="13">
        <v>39</v>
      </c>
      <c r="D56">
        <v>4</v>
      </c>
      <c r="E56">
        <v>1</v>
      </c>
      <c r="F56">
        <f t="shared" si="3"/>
        <v>1</v>
      </c>
      <c r="G56">
        <v>120</v>
      </c>
      <c r="H56" s="13">
        <f t="shared" si="6"/>
        <v>130</v>
      </c>
      <c r="I56">
        <f t="shared" si="7"/>
        <v>217</v>
      </c>
      <c r="J56">
        <f t="shared" si="4"/>
        <v>207</v>
      </c>
      <c r="K56">
        <f t="shared" si="8"/>
        <v>0</v>
      </c>
      <c r="L56">
        <f t="shared" si="9"/>
        <v>130</v>
      </c>
      <c r="M56" s="13" t="str">
        <f t="shared" si="17"/>
        <v/>
      </c>
      <c r="N56">
        <f t="shared" si="5"/>
        <v>111</v>
      </c>
      <c r="AT56" s="12" t="e">
        <f t="shared" si="18"/>
        <v>#N/A</v>
      </c>
      <c r="AU56" t="e">
        <f t="shared" si="18"/>
        <v>#N/A</v>
      </c>
      <c r="AV56">
        <f t="shared" si="18"/>
        <v>207</v>
      </c>
      <c r="AW56" t="e">
        <f t="shared" si="18"/>
        <v>#N/A</v>
      </c>
      <c r="AX56" t="e">
        <f t="shared" si="18"/>
        <v>#N/A</v>
      </c>
      <c r="AY56" t="e">
        <f t="shared" si="18"/>
        <v>#N/A</v>
      </c>
      <c r="AZ56" s="13" t="e">
        <f t="shared" si="18"/>
        <v>#N/A</v>
      </c>
      <c r="BB56">
        <v>120</v>
      </c>
    </row>
    <row r="57" spans="2:54" x14ac:dyDescent="0.45">
      <c r="B57" s="11">
        <v>3</v>
      </c>
      <c r="C57" s="13">
        <v>40</v>
      </c>
      <c r="D57">
        <v>5</v>
      </c>
      <c r="E57">
        <v>1</v>
      </c>
      <c r="F57">
        <f t="shared" si="3"/>
        <v>0</v>
      </c>
      <c r="G57">
        <v>111</v>
      </c>
      <c r="H57" s="13">
        <f t="shared" si="6"/>
        <v>0</v>
      </c>
      <c r="I57">
        <f t="shared" si="7"/>
        <v>207</v>
      </c>
      <c r="J57">
        <f t="shared" si="4"/>
        <v>318</v>
      </c>
      <c r="K57">
        <f t="shared" si="8"/>
        <v>0</v>
      </c>
      <c r="L57" t="str">
        <f t="shared" si="9"/>
        <v/>
      </c>
      <c r="M57" s="13" t="str">
        <f t="shared" si="17"/>
        <v/>
      </c>
      <c r="N57">
        <f t="shared" si="5"/>
        <v>0</v>
      </c>
      <c r="AT57" s="12" t="e">
        <f t="shared" si="18"/>
        <v>#N/A</v>
      </c>
      <c r="AU57" t="e">
        <f t="shared" si="18"/>
        <v>#N/A</v>
      </c>
      <c r="AV57">
        <f t="shared" si="18"/>
        <v>318</v>
      </c>
      <c r="AW57" t="e">
        <f t="shared" si="18"/>
        <v>#N/A</v>
      </c>
      <c r="AX57" t="e">
        <f t="shared" si="18"/>
        <v>#N/A</v>
      </c>
      <c r="AY57" t="e">
        <f t="shared" si="18"/>
        <v>#N/A</v>
      </c>
      <c r="AZ57" s="13" t="e">
        <f t="shared" si="18"/>
        <v>#N/A</v>
      </c>
      <c r="BB57">
        <v>111</v>
      </c>
    </row>
    <row r="58" spans="2:54" x14ac:dyDescent="0.45">
      <c r="B58" s="11">
        <v>3</v>
      </c>
      <c r="C58" s="13">
        <v>41</v>
      </c>
      <c r="D58">
        <v>6</v>
      </c>
      <c r="E58">
        <v>0</v>
      </c>
      <c r="F58">
        <f t="shared" si="3"/>
        <v>0</v>
      </c>
      <c r="G58">
        <v>0</v>
      </c>
      <c r="H58" s="13">
        <f t="shared" si="6"/>
        <v>0</v>
      </c>
      <c r="I58">
        <f t="shared" si="7"/>
        <v>318</v>
      </c>
      <c r="J58">
        <f t="shared" si="4"/>
        <v>318</v>
      </c>
      <c r="K58">
        <f t="shared" si="8"/>
        <v>0</v>
      </c>
      <c r="L58" t="str">
        <f t="shared" si="9"/>
        <v/>
      </c>
      <c r="M58" s="13" t="str">
        <f t="shared" si="17"/>
        <v/>
      </c>
      <c r="N58">
        <f t="shared" si="5"/>
        <v>0</v>
      </c>
      <c r="AT58" s="12" t="e">
        <f t="shared" si="18"/>
        <v>#N/A</v>
      </c>
      <c r="AU58" t="e">
        <f t="shared" si="18"/>
        <v>#N/A</v>
      </c>
      <c r="AV58">
        <f t="shared" si="18"/>
        <v>318</v>
      </c>
      <c r="AW58" t="e">
        <f t="shared" si="18"/>
        <v>#N/A</v>
      </c>
      <c r="AX58" t="e">
        <f t="shared" si="18"/>
        <v>#N/A</v>
      </c>
      <c r="AY58" t="e">
        <f t="shared" si="18"/>
        <v>#N/A</v>
      </c>
      <c r="AZ58" s="13" t="e">
        <f t="shared" si="18"/>
        <v>#N/A</v>
      </c>
      <c r="BB58">
        <v>111</v>
      </c>
    </row>
    <row r="59" spans="2:54" x14ac:dyDescent="0.45">
      <c r="B59" s="11">
        <v>3</v>
      </c>
      <c r="C59" s="13">
        <v>42</v>
      </c>
      <c r="D59" s="15">
        <v>7</v>
      </c>
      <c r="E59" s="15">
        <v>0</v>
      </c>
      <c r="F59">
        <f t="shared" si="3"/>
        <v>0</v>
      </c>
      <c r="G59" s="15">
        <v>0</v>
      </c>
      <c r="H59" s="13">
        <f t="shared" si="6"/>
        <v>0</v>
      </c>
      <c r="I59">
        <f t="shared" si="7"/>
        <v>318</v>
      </c>
      <c r="J59">
        <f t="shared" si="4"/>
        <v>318</v>
      </c>
      <c r="K59">
        <f t="shared" si="8"/>
        <v>0</v>
      </c>
      <c r="L59" t="str">
        <f t="shared" si="9"/>
        <v/>
      </c>
      <c r="M59" s="13">
        <f t="shared" si="17"/>
        <v>-123</v>
      </c>
      <c r="N59">
        <f t="shared" si="5"/>
        <v>-16</v>
      </c>
      <c r="AT59" s="12" t="e">
        <f t="shared" si="18"/>
        <v>#N/A</v>
      </c>
      <c r="AU59" t="e">
        <f t="shared" si="18"/>
        <v>#N/A</v>
      </c>
      <c r="AV59">
        <f t="shared" si="18"/>
        <v>318</v>
      </c>
      <c r="AW59" t="e">
        <f t="shared" si="18"/>
        <v>#N/A</v>
      </c>
      <c r="AX59" t="e">
        <f t="shared" si="18"/>
        <v>#N/A</v>
      </c>
      <c r="AY59" t="e">
        <f t="shared" si="18"/>
        <v>#N/A</v>
      </c>
      <c r="AZ59" s="13" t="e">
        <f t="shared" si="18"/>
        <v>#N/A</v>
      </c>
      <c r="BB59">
        <v>111</v>
      </c>
    </row>
    <row r="60" spans="2:54" x14ac:dyDescent="0.45">
      <c r="B60" s="11">
        <v>4</v>
      </c>
      <c r="C60" s="13">
        <v>43</v>
      </c>
      <c r="D60" s="8">
        <v>1</v>
      </c>
      <c r="E60" s="8">
        <v>1</v>
      </c>
      <c r="F60">
        <f t="shared" si="3"/>
        <v>1</v>
      </c>
      <c r="G60" s="8">
        <v>114</v>
      </c>
      <c r="H60" s="13">
        <f t="shared" si="6"/>
        <v>130</v>
      </c>
      <c r="I60">
        <f t="shared" si="7"/>
        <v>318</v>
      </c>
      <c r="J60">
        <f t="shared" si="4"/>
        <v>302</v>
      </c>
      <c r="K60">
        <f t="shared" si="8"/>
        <v>0</v>
      </c>
      <c r="L60">
        <f t="shared" si="9"/>
        <v>130</v>
      </c>
      <c r="M60" s="13" t="str">
        <f t="shared" si="17"/>
        <v/>
      </c>
      <c r="N60">
        <f t="shared" si="5"/>
        <v>18</v>
      </c>
      <c r="AT60" s="12" t="e">
        <f t="shared" si="18"/>
        <v>#N/A</v>
      </c>
      <c r="AU60" t="e">
        <f t="shared" si="18"/>
        <v>#N/A</v>
      </c>
      <c r="AV60" t="e">
        <f t="shared" si="18"/>
        <v>#N/A</v>
      </c>
      <c r="AW60">
        <f t="shared" si="18"/>
        <v>302</v>
      </c>
      <c r="AX60" t="e">
        <f t="shared" si="18"/>
        <v>#N/A</v>
      </c>
      <c r="AY60" t="e">
        <f t="shared" si="18"/>
        <v>#N/A</v>
      </c>
      <c r="AZ60" s="13" t="e">
        <f t="shared" si="18"/>
        <v>#N/A</v>
      </c>
      <c r="BB60">
        <v>114</v>
      </c>
    </row>
    <row r="61" spans="2:54" x14ac:dyDescent="0.45">
      <c r="B61" s="11">
        <v>4</v>
      </c>
      <c r="C61" s="13">
        <v>44</v>
      </c>
      <c r="D61">
        <v>2</v>
      </c>
      <c r="E61">
        <v>1</v>
      </c>
      <c r="F61">
        <f t="shared" si="3"/>
        <v>1</v>
      </c>
      <c r="G61">
        <v>148</v>
      </c>
      <c r="H61" s="13">
        <f t="shared" si="6"/>
        <v>130</v>
      </c>
      <c r="I61">
        <f t="shared" si="7"/>
        <v>302</v>
      </c>
      <c r="J61">
        <f t="shared" si="4"/>
        <v>320</v>
      </c>
      <c r="K61">
        <f t="shared" si="8"/>
        <v>0</v>
      </c>
      <c r="L61">
        <f t="shared" si="9"/>
        <v>130</v>
      </c>
      <c r="M61" s="13" t="str">
        <f t="shared" si="17"/>
        <v/>
      </c>
      <c r="N61">
        <f t="shared" si="5"/>
        <v>-14</v>
      </c>
      <c r="AT61" s="12" t="e">
        <f t="shared" si="18"/>
        <v>#N/A</v>
      </c>
      <c r="AU61" t="e">
        <f t="shared" si="18"/>
        <v>#N/A</v>
      </c>
      <c r="AV61" t="e">
        <f t="shared" si="18"/>
        <v>#N/A</v>
      </c>
      <c r="AW61">
        <f t="shared" si="18"/>
        <v>320</v>
      </c>
      <c r="AX61" t="e">
        <f t="shared" si="18"/>
        <v>#N/A</v>
      </c>
      <c r="AY61" t="e">
        <f t="shared" si="18"/>
        <v>#N/A</v>
      </c>
      <c r="AZ61" s="13" t="e">
        <f t="shared" si="18"/>
        <v>#N/A</v>
      </c>
      <c r="BB61">
        <v>148</v>
      </c>
    </row>
    <row r="62" spans="2:54" x14ac:dyDescent="0.45">
      <c r="B62" s="11">
        <v>4</v>
      </c>
      <c r="C62" s="13">
        <v>45</v>
      </c>
      <c r="D62">
        <v>3</v>
      </c>
      <c r="E62">
        <v>1</v>
      </c>
      <c r="F62">
        <f t="shared" si="3"/>
        <v>1</v>
      </c>
      <c r="G62">
        <v>116</v>
      </c>
      <c r="H62" s="13">
        <f t="shared" si="6"/>
        <v>130</v>
      </c>
      <c r="I62">
        <f t="shared" si="7"/>
        <v>320</v>
      </c>
      <c r="J62">
        <f t="shared" si="4"/>
        <v>306</v>
      </c>
      <c r="K62">
        <f t="shared" si="8"/>
        <v>0</v>
      </c>
      <c r="L62">
        <f t="shared" si="9"/>
        <v>130</v>
      </c>
      <c r="M62" s="13" t="str">
        <f t="shared" si="17"/>
        <v/>
      </c>
      <c r="N62">
        <f t="shared" si="5"/>
        <v>-18</v>
      </c>
      <c r="AT62" s="12" t="e">
        <f t="shared" si="18"/>
        <v>#N/A</v>
      </c>
      <c r="AU62" t="e">
        <f t="shared" si="18"/>
        <v>#N/A</v>
      </c>
      <c r="AV62" t="e">
        <f t="shared" si="18"/>
        <v>#N/A</v>
      </c>
      <c r="AW62">
        <f t="shared" si="18"/>
        <v>306</v>
      </c>
      <c r="AX62" t="e">
        <f t="shared" si="18"/>
        <v>#N/A</v>
      </c>
      <c r="AY62" t="e">
        <f t="shared" si="18"/>
        <v>#N/A</v>
      </c>
      <c r="AZ62" s="13" t="e">
        <f t="shared" si="18"/>
        <v>#N/A</v>
      </c>
      <c r="BB62">
        <v>134</v>
      </c>
    </row>
    <row r="63" spans="2:54" x14ac:dyDescent="0.45">
      <c r="B63" s="11">
        <v>4</v>
      </c>
      <c r="C63" s="13">
        <v>46</v>
      </c>
      <c r="D63">
        <v>4</v>
      </c>
      <c r="E63">
        <v>1</v>
      </c>
      <c r="F63">
        <f t="shared" si="3"/>
        <v>1</v>
      </c>
      <c r="G63">
        <v>112</v>
      </c>
      <c r="H63" s="13">
        <f t="shared" si="6"/>
        <v>130</v>
      </c>
      <c r="I63">
        <f t="shared" si="7"/>
        <v>306</v>
      </c>
      <c r="J63">
        <f t="shared" si="4"/>
        <v>288</v>
      </c>
      <c r="K63">
        <f t="shared" si="8"/>
        <v>0</v>
      </c>
      <c r="L63">
        <f t="shared" si="9"/>
        <v>130</v>
      </c>
      <c r="M63" s="13" t="str">
        <f t="shared" si="17"/>
        <v/>
      </c>
      <c r="N63">
        <f t="shared" si="5"/>
        <v>14</v>
      </c>
      <c r="AT63" s="12" t="e">
        <f t="shared" si="18"/>
        <v>#N/A</v>
      </c>
      <c r="AU63" t="e">
        <f t="shared" si="18"/>
        <v>#N/A</v>
      </c>
      <c r="AV63" t="e">
        <f t="shared" si="18"/>
        <v>#N/A</v>
      </c>
      <c r="AW63">
        <f t="shared" si="18"/>
        <v>288</v>
      </c>
      <c r="AX63" t="e">
        <f t="shared" si="18"/>
        <v>#N/A</v>
      </c>
      <c r="AY63" t="e">
        <f t="shared" si="18"/>
        <v>#N/A</v>
      </c>
      <c r="AZ63" s="13" t="e">
        <f t="shared" si="18"/>
        <v>#N/A</v>
      </c>
      <c r="BB63">
        <v>116</v>
      </c>
    </row>
    <row r="64" spans="2:54" x14ac:dyDescent="0.45">
      <c r="B64" s="11">
        <v>4</v>
      </c>
      <c r="C64" s="13">
        <v>47</v>
      </c>
      <c r="D64">
        <v>5</v>
      </c>
      <c r="E64">
        <v>1</v>
      </c>
      <c r="F64">
        <f t="shared" si="3"/>
        <v>1</v>
      </c>
      <c r="G64">
        <v>144</v>
      </c>
      <c r="H64" s="13">
        <f t="shared" si="6"/>
        <v>130</v>
      </c>
      <c r="I64">
        <f t="shared" si="7"/>
        <v>288</v>
      </c>
      <c r="J64">
        <f t="shared" si="4"/>
        <v>302</v>
      </c>
      <c r="K64">
        <f t="shared" si="8"/>
        <v>0</v>
      </c>
      <c r="L64">
        <f t="shared" si="9"/>
        <v>130</v>
      </c>
      <c r="M64" s="13" t="str">
        <f t="shared" si="17"/>
        <v/>
      </c>
      <c r="N64">
        <f t="shared" si="5"/>
        <v>0</v>
      </c>
      <c r="AT64" s="12" t="e">
        <f t="shared" si="18"/>
        <v>#N/A</v>
      </c>
      <c r="AU64" t="e">
        <f t="shared" si="18"/>
        <v>#N/A</v>
      </c>
      <c r="AV64" t="e">
        <f t="shared" si="18"/>
        <v>#N/A</v>
      </c>
      <c r="AW64">
        <f t="shared" si="18"/>
        <v>302</v>
      </c>
      <c r="AX64" t="e">
        <f t="shared" si="18"/>
        <v>#N/A</v>
      </c>
      <c r="AY64" t="e">
        <f t="shared" si="18"/>
        <v>#N/A</v>
      </c>
      <c r="AZ64" s="13" t="e">
        <f t="shared" si="18"/>
        <v>#N/A</v>
      </c>
      <c r="BB64">
        <v>144</v>
      </c>
    </row>
    <row r="65" spans="2:54" x14ac:dyDescent="0.45">
      <c r="B65" s="11">
        <v>4</v>
      </c>
      <c r="C65" s="13">
        <v>48</v>
      </c>
      <c r="D65">
        <v>6</v>
      </c>
      <c r="E65">
        <v>0</v>
      </c>
      <c r="F65">
        <f t="shared" si="3"/>
        <v>0</v>
      </c>
      <c r="G65">
        <v>0</v>
      </c>
      <c r="H65" s="13">
        <f t="shared" si="6"/>
        <v>0</v>
      </c>
      <c r="I65">
        <f t="shared" si="7"/>
        <v>302</v>
      </c>
      <c r="J65">
        <f t="shared" si="4"/>
        <v>302</v>
      </c>
      <c r="K65">
        <f t="shared" si="8"/>
        <v>0</v>
      </c>
      <c r="L65" t="str">
        <f t="shared" si="9"/>
        <v/>
      </c>
      <c r="M65" s="13" t="str">
        <f t="shared" si="17"/>
        <v/>
      </c>
      <c r="N65">
        <f t="shared" si="5"/>
        <v>0</v>
      </c>
      <c r="AT65" s="12" t="e">
        <f t="shared" si="18"/>
        <v>#N/A</v>
      </c>
      <c r="AU65" t="e">
        <f t="shared" si="18"/>
        <v>#N/A</v>
      </c>
      <c r="AV65" t="e">
        <f t="shared" si="18"/>
        <v>#N/A</v>
      </c>
      <c r="AW65">
        <f t="shared" si="18"/>
        <v>302</v>
      </c>
      <c r="AX65" t="e">
        <f t="shared" si="18"/>
        <v>#N/A</v>
      </c>
      <c r="AY65" t="e">
        <f t="shared" si="18"/>
        <v>#N/A</v>
      </c>
      <c r="AZ65" s="13" t="e">
        <f t="shared" si="18"/>
        <v>#N/A</v>
      </c>
      <c r="BB65">
        <v>144</v>
      </c>
    </row>
    <row r="66" spans="2:54" x14ac:dyDescent="0.45">
      <c r="B66" s="11">
        <v>4</v>
      </c>
      <c r="C66" s="13">
        <v>49</v>
      </c>
      <c r="D66" s="15">
        <v>7</v>
      </c>
      <c r="E66" s="15">
        <v>0</v>
      </c>
      <c r="F66">
        <f t="shared" si="3"/>
        <v>0</v>
      </c>
      <c r="G66" s="15">
        <v>0</v>
      </c>
      <c r="H66" s="13">
        <f t="shared" si="6"/>
        <v>0</v>
      </c>
      <c r="I66">
        <f t="shared" si="7"/>
        <v>302</v>
      </c>
      <c r="J66">
        <f t="shared" si="4"/>
        <v>302</v>
      </c>
      <c r="K66">
        <f t="shared" si="8"/>
        <v>0</v>
      </c>
      <c r="L66" t="str">
        <f t="shared" si="9"/>
        <v/>
      </c>
      <c r="M66" s="13" t="str">
        <f t="shared" si="17"/>
        <v/>
      </c>
      <c r="N66">
        <f t="shared" si="5"/>
        <v>-17</v>
      </c>
      <c r="AT66" s="12" t="e">
        <f t="shared" ref="AT66:AZ81" si="19">IF($B66=AT$17,$J66,NA())</f>
        <v>#N/A</v>
      </c>
      <c r="AU66" t="e">
        <f t="shared" si="19"/>
        <v>#N/A</v>
      </c>
      <c r="AV66" t="e">
        <f t="shared" si="19"/>
        <v>#N/A</v>
      </c>
      <c r="AW66">
        <f t="shared" si="19"/>
        <v>302</v>
      </c>
      <c r="AX66" t="e">
        <f t="shared" si="19"/>
        <v>#N/A</v>
      </c>
      <c r="AY66" t="e">
        <f t="shared" si="19"/>
        <v>#N/A</v>
      </c>
      <c r="AZ66" s="13" t="e">
        <f t="shared" si="19"/>
        <v>#N/A</v>
      </c>
      <c r="BB66">
        <v>144</v>
      </c>
    </row>
    <row r="67" spans="2:54" x14ac:dyDescent="0.45">
      <c r="B67" s="11">
        <v>4</v>
      </c>
      <c r="C67" s="13">
        <v>50</v>
      </c>
      <c r="D67" s="8">
        <v>1</v>
      </c>
      <c r="E67" s="8">
        <v>1</v>
      </c>
      <c r="F67">
        <f t="shared" si="3"/>
        <v>1</v>
      </c>
      <c r="G67" s="8">
        <v>113</v>
      </c>
      <c r="H67" s="13">
        <f t="shared" si="6"/>
        <v>130</v>
      </c>
      <c r="I67">
        <f t="shared" si="7"/>
        <v>302</v>
      </c>
      <c r="J67">
        <f t="shared" si="4"/>
        <v>285</v>
      </c>
      <c r="K67">
        <f t="shared" si="8"/>
        <v>0</v>
      </c>
      <c r="L67">
        <f t="shared" si="9"/>
        <v>130</v>
      </c>
      <c r="M67" s="13" t="str">
        <f t="shared" si="17"/>
        <v/>
      </c>
      <c r="N67">
        <f t="shared" si="5"/>
        <v>-15</v>
      </c>
      <c r="AT67" s="12" t="e">
        <f t="shared" si="19"/>
        <v>#N/A</v>
      </c>
      <c r="AU67" t="e">
        <f t="shared" si="19"/>
        <v>#N/A</v>
      </c>
      <c r="AV67" t="e">
        <f t="shared" si="19"/>
        <v>#N/A</v>
      </c>
      <c r="AW67">
        <f t="shared" si="19"/>
        <v>285</v>
      </c>
      <c r="AX67" t="e">
        <f t="shared" si="19"/>
        <v>#N/A</v>
      </c>
      <c r="AY67" t="e">
        <f t="shared" si="19"/>
        <v>#N/A</v>
      </c>
      <c r="AZ67" s="13" t="e">
        <f t="shared" si="19"/>
        <v>#N/A</v>
      </c>
      <c r="BB67">
        <v>127</v>
      </c>
    </row>
    <row r="68" spans="2:54" x14ac:dyDescent="0.45">
      <c r="B68" s="11">
        <v>4</v>
      </c>
      <c r="C68" s="13">
        <v>51</v>
      </c>
      <c r="D68">
        <v>2</v>
      </c>
      <c r="E68">
        <v>1</v>
      </c>
      <c r="F68">
        <f t="shared" si="3"/>
        <v>1</v>
      </c>
      <c r="G68">
        <v>115</v>
      </c>
      <c r="H68" s="13">
        <f t="shared" si="6"/>
        <v>130</v>
      </c>
      <c r="I68">
        <f t="shared" si="7"/>
        <v>285</v>
      </c>
      <c r="J68">
        <f t="shared" si="4"/>
        <v>270</v>
      </c>
      <c r="K68">
        <f t="shared" si="8"/>
        <v>0</v>
      </c>
      <c r="L68">
        <f t="shared" si="9"/>
        <v>130</v>
      </c>
      <c r="M68" s="13" t="str">
        <f t="shared" si="17"/>
        <v/>
      </c>
      <c r="N68">
        <f t="shared" si="5"/>
        <v>-7</v>
      </c>
      <c r="AT68" s="12" t="e">
        <f t="shared" si="19"/>
        <v>#N/A</v>
      </c>
      <c r="AU68" t="e">
        <f t="shared" si="19"/>
        <v>#N/A</v>
      </c>
      <c r="AV68" t="e">
        <f t="shared" si="19"/>
        <v>#N/A</v>
      </c>
      <c r="AW68">
        <f t="shared" si="19"/>
        <v>270</v>
      </c>
      <c r="AX68" t="e">
        <f t="shared" si="19"/>
        <v>#N/A</v>
      </c>
      <c r="AY68" t="e">
        <f t="shared" si="19"/>
        <v>#N/A</v>
      </c>
      <c r="AZ68" s="13" t="e">
        <f t="shared" si="19"/>
        <v>#N/A</v>
      </c>
      <c r="BB68">
        <v>115</v>
      </c>
    </row>
    <row r="69" spans="2:54" x14ac:dyDescent="0.45">
      <c r="B69" s="11">
        <v>4</v>
      </c>
      <c r="C69" s="13">
        <v>52</v>
      </c>
      <c r="D69">
        <v>3</v>
      </c>
      <c r="E69">
        <v>1</v>
      </c>
      <c r="F69">
        <f t="shared" si="3"/>
        <v>1</v>
      </c>
      <c r="G69">
        <v>123</v>
      </c>
      <c r="H69" s="13">
        <f t="shared" si="6"/>
        <v>130</v>
      </c>
      <c r="I69">
        <f t="shared" si="7"/>
        <v>270</v>
      </c>
      <c r="J69">
        <f t="shared" si="4"/>
        <v>263</v>
      </c>
      <c r="K69">
        <f t="shared" si="8"/>
        <v>0</v>
      </c>
      <c r="L69">
        <f t="shared" si="9"/>
        <v>130</v>
      </c>
      <c r="M69" s="13" t="str">
        <f t="shared" si="17"/>
        <v/>
      </c>
      <c r="N69">
        <f t="shared" si="5"/>
        <v>6</v>
      </c>
      <c r="AT69" s="12" t="e">
        <f t="shared" si="19"/>
        <v>#N/A</v>
      </c>
      <c r="AU69" t="e">
        <f t="shared" si="19"/>
        <v>#N/A</v>
      </c>
      <c r="AV69" t="e">
        <f t="shared" si="19"/>
        <v>#N/A</v>
      </c>
      <c r="AW69">
        <f t="shared" si="19"/>
        <v>263</v>
      </c>
      <c r="AX69" t="e">
        <f t="shared" si="19"/>
        <v>#N/A</v>
      </c>
      <c r="AY69" t="e">
        <f t="shared" si="19"/>
        <v>#N/A</v>
      </c>
      <c r="AZ69" s="13" t="e">
        <f t="shared" si="19"/>
        <v>#N/A</v>
      </c>
      <c r="BB69">
        <v>123</v>
      </c>
    </row>
    <row r="70" spans="2:54" x14ac:dyDescent="0.45">
      <c r="B70" s="11">
        <v>4</v>
      </c>
      <c r="C70" s="13">
        <v>53</v>
      </c>
      <c r="D70">
        <v>4</v>
      </c>
      <c r="E70">
        <v>1</v>
      </c>
      <c r="F70">
        <f t="shared" si="3"/>
        <v>1</v>
      </c>
      <c r="G70">
        <v>136</v>
      </c>
      <c r="H70" s="13">
        <f t="shared" si="6"/>
        <v>130</v>
      </c>
      <c r="I70">
        <f t="shared" si="7"/>
        <v>263</v>
      </c>
      <c r="J70">
        <f t="shared" si="4"/>
        <v>269</v>
      </c>
      <c r="K70">
        <f t="shared" si="8"/>
        <v>0</v>
      </c>
      <c r="L70">
        <f t="shared" si="9"/>
        <v>130</v>
      </c>
      <c r="M70" s="13" t="str">
        <f t="shared" si="17"/>
        <v/>
      </c>
      <c r="N70">
        <f t="shared" si="5"/>
        <v>-19</v>
      </c>
      <c r="AT70" s="12" t="e">
        <f t="shared" si="19"/>
        <v>#N/A</v>
      </c>
      <c r="AU70" t="e">
        <f t="shared" si="19"/>
        <v>#N/A</v>
      </c>
      <c r="AV70" t="e">
        <f t="shared" si="19"/>
        <v>#N/A</v>
      </c>
      <c r="AW70">
        <f t="shared" si="19"/>
        <v>269</v>
      </c>
      <c r="AX70" t="e">
        <f t="shared" si="19"/>
        <v>#N/A</v>
      </c>
      <c r="AY70" t="e">
        <f t="shared" si="19"/>
        <v>#N/A</v>
      </c>
      <c r="AZ70" s="13" t="e">
        <f t="shared" si="19"/>
        <v>#N/A</v>
      </c>
      <c r="BB70">
        <v>136</v>
      </c>
    </row>
    <row r="71" spans="2:54" x14ac:dyDescent="0.45">
      <c r="B71" s="11">
        <v>4</v>
      </c>
      <c r="C71" s="13">
        <v>54</v>
      </c>
      <c r="D71">
        <v>5</v>
      </c>
      <c r="E71">
        <v>1</v>
      </c>
      <c r="F71">
        <f t="shared" si="3"/>
        <v>1</v>
      </c>
      <c r="G71">
        <v>111</v>
      </c>
      <c r="H71" s="13">
        <f t="shared" si="6"/>
        <v>130</v>
      </c>
      <c r="I71">
        <f t="shared" si="7"/>
        <v>269</v>
      </c>
      <c r="J71">
        <f t="shared" si="4"/>
        <v>250</v>
      </c>
      <c r="K71">
        <f t="shared" si="8"/>
        <v>0</v>
      </c>
      <c r="L71">
        <f t="shared" si="9"/>
        <v>130</v>
      </c>
      <c r="M71" s="13" t="str">
        <f t="shared" si="17"/>
        <v/>
      </c>
      <c r="N71">
        <f t="shared" si="5"/>
        <v>0</v>
      </c>
      <c r="AT71" s="12" t="e">
        <f t="shared" si="19"/>
        <v>#N/A</v>
      </c>
      <c r="AU71" t="e">
        <f t="shared" si="19"/>
        <v>#N/A</v>
      </c>
      <c r="AV71" t="e">
        <f t="shared" si="19"/>
        <v>#N/A</v>
      </c>
      <c r="AW71">
        <f t="shared" si="19"/>
        <v>250</v>
      </c>
      <c r="AX71" t="e">
        <f t="shared" si="19"/>
        <v>#N/A</v>
      </c>
      <c r="AY71" t="e">
        <f t="shared" si="19"/>
        <v>#N/A</v>
      </c>
      <c r="AZ71" s="13" t="e">
        <f t="shared" si="19"/>
        <v>#N/A</v>
      </c>
      <c r="BB71">
        <v>117</v>
      </c>
    </row>
    <row r="72" spans="2:54" x14ac:dyDescent="0.45">
      <c r="B72" s="11">
        <v>4</v>
      </c>
      <c r="C72" s="13">
        <v>55</v>
      </c>
      <c r="D72">
        <v>6</v>
      </c>
      <c r="E72">
        <v>0</v>
      </c>
      <c r="F72">
        <f t="shared" si="3"/>
        <v>0</v>
      </c>
      <c r="G72">
        <v>0</v>
      </c>
      <c r="H72" s="13">
        <f t="shared" si="6"/>
        <v>0</v>
      </c>
      <c r="I72">
        <f t="shared" si="7"/>
        <v>250</v>
      </c>
      <c r="J72">
        <f t="shared" si="4"/>
        <v>250</v>
      </c>
      <c r="K72">
        <f t="shared" si="8"/>
        <v>0</v>
      </c>
      <c r="L72" t="str">
        <f t="shared" si="9"/>
        <v/>
      </c>
      <c r="M72" s="13" t="str">
        <f t="shared" si="17"/>
        <v/>
      </c>
      <c r="N72">
        <f t="shared" si="5"/>
        <v>0</v>
      </c>
      <c r="AT72" s="12" t="e">
        <f t="shared" si="19"/>
        <v>#N/A</v>
      </c>
      <c r="AU72" t="e">
        <f t="shared" si="19"/>
        <v>#N/A</v>
      </c>
      <c r="AV72" t="e">
        <f t="shared" si="19"/>
        <v>#N/A</v>
      </c>
      <c r="AW72">
        <f t="shared" si="19"/>
        <v>250</v>
      </c>
      <c r="AX72" t="e">
        <f t="shared" si="19"/>
        <v>#N/A</v>
      </c>
      <c r="AY72" t="e">
        <f t="shared" si="19"/>
        <v>#N/A</v>
      </c>
      <c r="AZ72" s="13" t="e">
        <f t="shared" si="19"/>
        <v>#N/A</v>
      </c>
      <c r="BB72">
        <v>117</v>
      </c>
    </row>
    <row r="73" spans="2:54" x14ac:dyDescent="0.45">
      <c r="B73" s="11">
        <v>4</v>
      </c>
      <c r="C73" s="13">
        <v>56</v>
      </c>
      <c r="D73" s="15">
        <v>7</v>
      </c>
      <c r="E73" s="15">
        <v>0</v>
      </c>
      <c r="F73">
        <f t="shared" si="3"/>
        <v>0</v>
      </c>
      <c r="G73" s="15">
        <v>0</v>
      </c>
      <c r="H73" s="13">
        <f t="shared" si="6"/>
        <v>0</v>
      </c>
      <c r="I73">
        <f t="shared" si="7"/>
        <v>250</v>
      </c>
      <c r="J73">
        <f t="shared" si="4"/>
        <v>250</v>
      </c>
      <c r="K73">
        <f t="shared" si="8"/>
        <v>0</v>
      </c>
      <c r="L73" t="str">
        <f t="shared" si="9"/>
        <v/>
      </c>
      <c r="M73" s="13">
        <f t="shared" si="17"/>
        <v>-51</v>
      </c>
      <c r="N73">
        <f t="shared" si="5"/>
        <v>7</v>
      </c>
      <c r="AT73" s="12" t="e">
        <f t="shared" si="19"/>
        <v>#N/A</v>
      </c>
      <c r="AU73" t="e">
        <f t="shared" si="19"/>
        <v>#N/A</v>
      </c>
      <c r="AV73" t="e">
        <f t="shared" si="19"/>
        <v>#N/A</v>
      </c>
      <c r="AW73">
        <f t="shared" si="19"/>
        <v>250</v>
      </c>
      <c r="AX73" t="e">
        <f t="shared" si="19"/>
        <v>#N/A</v>
      </c>
      <c r="AY73" t="e">
        <f t="shared" si="19"/>
        <v>#N/A</v>
      </c>
      <c r="AZ73" s="13" t="e">
        <f t="shared" si="19"/>
        <v>#N/A</v>
      </c>
      <c r="BB73">
        <v>117</v>
      </c>
    </row>
    <row r="74" spans="2:54" x14ac:dyDescent="0.45">
      <c r="B74" s="7">
        <v>5</v>
      </c>
      <c r="C74" s="13">
        <v>57</v>
      </c>
      <c r="D74" s="8">
        <v>1</v>
      </c>
      <c r="E74" s="8">
        <v>1</v>
      </c>
      <c r="F74">
        <f t="shared" si="3"/>
        <v>1</v>
      </c>
      <c r="G74" s="8">
        <v>137</v>
      </c>
      <c r="H74" s="13">
        <f t="shared" si="6"/>
        <v>130</v>
      </c>
      <c r="I74">
        <f t="shared" si="7"/>
        <v>250</v>
      </c>
      <c r="J74">
        <f t="shared" si="4"/>
        <v>257</v>
      </c>
      <c r="K74">
        <f t="shared" si="8"/>
        <v>0</v>
      </c>
      <c r="L74">
        <f t="shared" si="9"/>
        <v>130</v>
      </c>
      <c r="M74" s="13" t="str">
        <f t="shared" si="17"/>
        <v/>
      </c>
      <c r="N74">
        <f t="shared" si="5"/>
        <v>22</v>
      </c>
      <c r="AT74" s="12" t="e">
        <f t="shared" si="19"/>
        <v>#N/A</v>
      </c>
      <c r="AU74" t="e">
        <f t="shared" si="19"/>
        <v>#N/A</v>
      </c>
      <c r="AV74" t="e">
        <f t="shared" si="19"/>
        <v>#N/A</v>
      </c>
      <c r="AW74" t="e">
        <f t="shared" si="19"/>
        <v>#N/A</v>
      </c>
      <c r="AX74">
        <f t="shared" si="19"/>
        <v>257</v>
      </c>
      <c r="AY74" t="e">
        <f t="shared" si="19"/>
        <v>#N/A</v>
      </c>
      <c r="AZ74" s="13" t="e">
        <f t="shared" si="19"/>
        <v>#N/A</v>
      </c>
      <c r="BB74">
        <v>137</v>
      </c>
    </row>
    <row r="75" spans="2:54" x14ac:dyDescent="0.45">
      <c r="B75" s="7">
        <v>5</v>
      </c>
      <c r="C75" s="13">
        <v>58</v>
      </c>
      <c r="D75">
        <v>2</v>
      </c>
      <c r="E75">
        <v>1</v>
      </c>
      <c r="F75">
        <f t="shared" si="3"/>
        <v>1</v>
      </c>
      <c r="G75">
        <v>152</v>
      </c>
      <c r="H75" s="13">
        <f t="shared" si="6"/>
        <v>130</v>
      </c>
      <c r="I75">
        <f t="shared" si="7"/>
        <v>257</v>
      </c>
      <c r="J75">
        <f t="shared" si="4"/>
        <v>279</v>
      </c>
      <c r="K75">
        <f t="shared" si="8"/>
        <v>0</v>
      </c>
      <c r="L75">
        <f t="shared" si="9"/>
        <v>130</v>
      </c>
      <c r="M75" s="13" t="str">
        <f t="shared" si="17"/>
        <v/>
      </c>
      <c r="N75">
        <f t="shared" si="5"/>
        <v>13</v>
      </c>
      <c r="AT75" s="12" t="e">
        <f t="shared" si="19"/>
        <v>#N/A</v>
      </c>
      <c r="AU75" t="e">
        <f t="shared" si="19"/>
        <v>#N/A</v>
      </c>
      <c r="AV75" t="e">
        <f t="shared" si="19"/>
        <v>#N/A</v>
      </c>
      <c r="AW75" t="e">
        <f t="shared" si="19"/>
        <v>#N/A</v>
      </c>
      <c r="AX75">
        <f t="shared" si="19"/>
        <v>279</v>
      </c>
      <c r="AY75" t="e">
        <f t="shared" si="19"/>
        <v>#N/A</v>
      </c>
      <c r="AZ75" s="13" t="e">
        <f t="shared" si="19"/>
        <v>#N/A</v>
      </c>
      <c r="BB75">
        <v>159</v>
      </c>
    </row>
    <row r="76" spans="2:54" x14ac:dyDescent="0.45">
      <c r="B76" s="7">
        <v>5</v>
      </c>
      <c r="C76" s="13">
        <v>59</v>
      </c>
      <c r="D76">
        <v>3</v>
      </c>
      <c r="E76">
        <v>1</v>
      </c>
      <c r="F76">
        <f t="shared" si="3"/>
        <v>1</v>
      </c>
      <c r="G76">
        <v>143</v>
      </c>
      <c r="H76" s="13">
        <f t="shared" si="6"/>
        <v>130</v>
      </c>
      <c r="I76">
        <f t="shared" si="7"/>
        <v>279</v>
      </c>
      <c r="J76">
        <f t="shared" si="4"/>
        <v>292</v>
      </c>
      <c r="K76">
        <f t="shared" si="8"/>
        <v>0</v>
      </c>
      <c r="L76">
        <f t="shared" si="9"/>
        <v>130</v>
      </c>
      <c r="M76" s="13" t="str">
        <f t="shared" si="17"/>
        <v/>
      </c>
      <c r="N76">
        <f t="shared" si="5"/>
        <v>36</v>
      </c>
      <c r="AT76" s="12" t="e">
        <f t="shared" si="19"/>
        <v>#N/A</v>
      </c>
      <c r="AU76" t="e">
        <f t="shared" si="19"/>
        <v>#N/A</v>
      </c>
      <c r="AV76" t="e">
        <f t="shared" si="19"/>
        <v>#N/A</v>
      </c>
      <c r="AW76" t="e">
        <f t="shared" si="19"/>
        <v>#N/A</v>
      </c>
      <c r="AX76">
        <f t="shared" si="19"/>
        <v>292</v>
      </c>
      <c r="AY76" t="e">
        <f t="shared" si="19"/>
        <v>#N/A</v>
      </c>
      <c r="AZ76" s="13" t="e">
        <f t="shared" si="19"/>
        <v>#N/A</v>
      </c>
      <c r="BB76">
        <v>172</v>
      </c>
    </row>
    <row r="77" spans="2:54" x14ac:dyDescent="0.45">
      <c r="B77" s="7">
        <v>5</v>
      </c>
      <c r="C77" s="13">
        <v>60</v>
      </c>
      <c r="D77">
        <v>4</v>
      </c>
      <c r="E77">
        <v>1</v>
      </c>
      <c r="F77">
        <f t="shared" si="3"/>
        <v>1</v>
      </c>
      <c r="G77">
        <v>166</v>
      </c>
      <c r="H77" s="13">
        <f t="shared" si="6"/>
        <v>130</v>
      </c>
      <c r="I77">
        <f t="shared" si="7"/>
        <v>292</v>
      </c>
      <c r="J77">
        <f t="shared" si="4"/>
        <v>328</v>
      </c>
      <c r="K77">
        <f t="shared" si="8"/>
        <v>0</v>
      </c>
      <c r="L77">
        <f t="shared" si="9"/>
        <v>130</v>
      </c>
      <c r="M77" s="13" t="str">
        <f t="shared" si="17"/>
        <v/>
      </c>
      <c r="N77">
        <f t="shared" si="5"/>
        <v>29</v>
      </c>
      <c r="AT77" s="12" t="e">
        <f t="shared" si="19"/>
        <v>#N/A</v>
      </c>
      <c r="AU77" t="e">
        <f t="shared" si="19"/>
        <v>#N/A</v>
      </c>
      <c r="AV77" t="e">
        <f t="shared" si="19"/>
        <v>#N/A</v>
      </c>
      <c r="AW77" t="e">
        <f t="shared" si="19"/>
        <v>#N/A</v>
      </c>
      <c r="AX77">
        <f t="shared" si="19"/>
        <v>328</v>
      </c>
      <c r="AY77" t="e">
        <f t="shared" si="19"/>
        <v>#N/A</v>
      </c>
      <c r="AZ77" s="13" t="e">
        <f t="shared" si="19"/>
        <v>#N/A</v>
      </c>
      <c r="BB77">
        <v>208</v>
      </c>
    </row>
    <row r="78" spans="2:54" x14ac:dyDescent="0.45">
      <c r="B78" s="7">
        <v>5</v>
      </c>
      <c r="C78" s="13">
        <v>61</v>
      </c>
      <c r="D78">
        <v>5</v>
      </c>
      <c r="E78">
        <v>1</v>
      </c>
      <c r="F78">
        <f t="shared" si="3"/>
        <v>1</v>
      </c>
      <c r="G78">
        <v>159</v>
      </c>
      <c r="H78" s="13">
        <f t="shared" si="6"/>
        <v>130</v>
      </c>
      <c r="I78">
        <f t="shared" si="7"/>
        <v>328</v>
      </c>
      <c r="J78">
        <f t="shared" si="4"/>
        <v>357</v>
      </c>
      <c r="K78">
        <f t="shared" si="8"/>
        <v>0</v>
      </c>
      <c r="L78">
        <f t="shared" si="9"/>
        <v>130</v>
      </c>
      <c r="M78" s="13" t="str">
        <f t="shared" si="17"/>
        <v/>
      </c>
      <c r="N78">
        <f t="shared" si="5"/>
        <v>-130</v>
      </c>
      <c r="AT78" s="12" t="e">
        <f t="shared" si="19"/>
        <v>#N/A</v>
      </c>
      <c r="AU78" t="e">
        <f t="shared" si="19"/>
        <v>#N/A</v>
      </c>
      <c r="AV78" t="e">
        <f t="shared" si="19"/>
        <v>#N/A</v>
      </c>
      <c r="AW78" t="e">
        <f t="shared" si="19"/>
        <v>#N/A</v>
      </c>
      <c r="AX78">
        <f t="shared" si="19"/>
        <v>357</v>
      </c>
      <c r="AY78" t="e">
        <f t="shared" si="19"/>
        <v>#N/A</v>
      </c>
      <c r="AZ78" s="13" t="e">
        <f t="shared" si="19"/>
        <v>#N/A</v>
      </c>
      <c r="BB78">
        <v>237</v>
      </c>
    </row>
    <row r="79" spans="2:54" x14ac:dyDescent="0.45">
      <c r="B79" s="7">
        <v>5</v>
      </c>
      <c r="C79" s="13">
        <v>62</v>
      </c>
      <c r="D79">
        <v>6</v>
      </c>
      <c r="E79">
        <v>0</v>
      </c>
      <c r="F79">
        <f t="shared" si="3"/>
        <v>1</v>
      </c>
      <c r="G79">
        <v>0</v>
      </c>
      <c r="H79" s="13">
        <f t="shared" si="6"/>
        <v>130</v>
      </c>
      <c r="I79">
        <f t="shared" si="7"/>
        <v>357</v>
      </c>
      <c r="J79">
        <f t="shared" si="4"/>
        <v>227</v>
      </c>
      <c r="K79">
        <f t="shared" si="8"/>
        <v>0</v>
      </c>
      <c r="L79">
        <f t="shared" si="9"/>
        <v>130</v>
      </c>
      <c r="M79" s="13" t="str">
        <f t="shared" si="17"/>
        <v/>
      </c>
      <c r="N79">
        <f t="shared" si="5"/>
        <v>0</v>
      </c>
      <c r="AT79" s="12" t="e">
        <f t="shared" si="19"/>
        <v>#N/A</v>
      </c>
      <c r="AU79" t="e">
        <f t="shared" si="19"/>
        <v>#N/A</v>
      </c>
      <c r="AV79" t="e">
        <f t="shared" si="19"/>
        <v>#N/A</v>
      </c>
      <c r="AW79" t="e">
        <f t="shared" si="19"/>
        <v>#N/A</v>
      </c>
      <c r="AX79">
        <f t="shared" si="19"/>
        <v>227</v>
      </c>
      <c r="AY79" t="e">
        <f t="shared" si="19"/>
        <v>#N/A</v>
      </c>
      <c r="AZ79" s="13" t="e">
        <f t="shared" si="19"/>
        <v>#N/A</v>
      </c>
      <c r="BB79">
        <v>237</v>
      </c>
    </row>
    <row r="80" spans="2:54" x14ac:dyDescent="0.45">
      <c r="B80" s="7">
        <v>5</v>
      </c>
      <c r="C80" s="13">
        <v>63</v>
      </c>
      <c r="D80" s="15">
        <v>7</v>
      </c>
      <c r="E80" s="15">
        <v>0</v>
      </c>
      <c r="F80">
        <f t="shared" si="3"/>
        <v>0</v>
      </c>
      <c r="G80" s="15">
        <v>0</v>
      </c>
      <c r="H80" s="13">
        <f t="shared" si="6"/>
        <v>0</v>
      </c>
      <c r="I80">
        <f t="shared" si="7"/>
        <v>227</v>
      </c>
      <c r="J80">
        <f t="shared" si="4"/>
        <v>227</v>
      </c>
      <c r="K80">
        <f t="shared" si="8"/>
        <v>0</v>
      </c>
      <c r="L80" t="str">
        <f t="shared" si="9"/>
        <v/>
      </c>
      <c r="M80" s="13" t="str">
        <f t="shared" si="17"/>
        <v/>
      </c>
      <c r="N80">
        <f t="shared" si="5"/>
        <v>29</v>
      </c>
      <c r="AT80" s="12" t="e">
        <f t="shared" si="19"/>
        <v>#N/A</v>
      </c>
      <c r="AU80" t="e">
        <f t="shared" si="19"/>
        <v>#N/A</v>
      </c>
      <c r="AV80" t="e">
        <f t="shared" si="19"/>
        <v>#N/A</v>
      </c>
      <c r="AW80" t="e">
        <f t="shared" si="19"/>
        <v>#N/A</v>
      </c>
      <c r="AX80">
        <f t="shared" si="19"/>
        <v>227</v>
      </c>
      <c r="AY80" t="e">
        <f t="shared" si="19"/>
        <v>#N/A</v>
      </c>
      <c r="AZ80" s="13" t="e">
        <f t="shared" si="19"/>
        <v>#N/A</v>
      </c>
      <c r="BB80">
        <v>237</v>
      </c>
    </row>
    <row r="81" spans="2:54" x14ac:dyDescent="0.45">
      <c r="B81" s="7">
        <v>5</v>
      </c>
      <c r="C81" s="13">
        <v>64</v>
      </c>
      <c r="D81" s="8">
        <v>1</v>
      </c>
      <c r="E81" s="8">
        <v>1</v>
      </c>
      <c r="F81">
        <f t="shared" si="3"/>
        <v>1</v>
      </c>
      <c r="G81" s="8">
        <v>159</v>
      </c>
      <c r="H81" s="13">
        <f t="shared" si="6"/>
        <v>130</v>
      </c>
      <c r="I81">
        <f t="shared" si="7"/>
        <v>227</v>
      </c>
      <c r="J81">
        <f t="shared" si="4"/>
        <v>256</v>
      </c>
      <c r="K81">
        <f t="shared" si="8"/>
        <v>0</v>
      </c>
      <c r="L81">
        <f t="shared" si="9"/>
        <v>130</v>
      </c>
      <c r="M81" s="13" t="str">
        <f t="shared" si="17"/>
        <v/>
      </c>
      <c r="N81">
        <f t="shared" si="5"/>
        <v>8</v>
      </c>
      <c r="AT81" s="12" t="e">
        <f t="shared" si="19"/>
        <v>#N/A</v>
      </c>
      <c r="AU81" t="e">
        <f t="shared" si="19"/>
        <v>#N/A</v>
      </c>
      <c r="AV81" t="e">
        <f t="shared" si="19"/>
        <v>#N/A</v>
      </c>
      <c r="AW81" t="e">
        <f t="shared" si="19"/>
        <v>#N/A</v>
      </c>
      <c r="AX81">
        <f t="shared" si="19"/>
        <v>256</v>
      </c>
      <c r="AY81" t="e">
        <f t="shared" si="19"/>
        <v>#N/A</v>
      </c>
      <c r="AZ81" s="13" t="e">
        <f t="shared" si="19"/>
        <v>#N/A</v>
      </c>
      <c r="BB81">
        <v>266</v>
      </c>
    </row>
    <row r="82" spans="2:54" x14ac:dyDescent="0.45">
      <c r="B82" s="7">
        <v>5</v>
      </c>
      <c r="C82" s="13">
        <v>65</v>
      </c>
      <c r="D82">
        <v>2</v>
      </c>
      <c r="E82">
        <v>1</v>
      </c>
      <c r="F82">
        <f t="shared" si="3"/>
        <v>1</v>
      </c>
      <c r="G82">
        <v>138</v>
      </c>
      <c r="H82" s="13">
        <f t="shared" si="6"/>
        <v>130</v>
      </c>
      <c r="I82">
        <f t="shared" si="7"/>
        <v>256</v>
      </c>
      <c r="J82">
        <f t="shared" si="4"/>
        <v>264</v>
      </c>
      <c r="K82">
        <f t="shared" si="8"/>
        <v>0</v>
      </c>
      <c r="L82">
        <f t="shared" si="9"/>
        <v>130</v>
      </c>
      <c r="M82" s="13" t="str">
        <f t="shared" si="17"/>
        <v/>
      </c>
      <c r="N82">
        <f t="shared" si="5"/>
        <v>39</v>
      </c>
      <c r="AT82" s="12" t="e">
        <f t="shared" ref="AT82:AZ97" si="20">IF($B82=AT$17,$J82,NA())</f>
        <v>#N/A</v>
      </c>
      <c r="AU82" t="e">
        <f t="shared" si="20"/>
        <v>#N/A</v>
      </c>
      <c r="AV82" t="e">
        <f t="shared" si="20"/>
        <v>#N/A</v>
      </c>
      <c r="AW82" t="e">
        <f t="shared" si="20"/>
        <v>#N/A</v>
      </c>
      <c r="AX82">
        <f t="shared" si="20"/>
        <v>264</v>
      </c>
      <c r="AY82" t="e">
        <f t="shared" si="20"/>
        <v>#N/A</v>
      </c>
      <c r="AZ82" s="13" t="e">
        <f t="shared" si="20"/>
        <v>#N/A</v>
      </c>
      <c r="BB82">
        <v>274</v>
      </c>
    </row>
    <row r="83" spans="2:54" x14ac:dyDescent="0.45">
      <c r="B83" s="7">
        <v>5</v>
      </c>
      <c r="C83" s="13">
        <v>66</v>
      </c>
      <c r="D83">
        <v>3</v>
      </c>
      <c r="E83">
        <v>1</v>
      </c>
      <c r="F83">
        <f t="shared" ref="F83:F146" si="21">IF(D83&lt;=INDEX($C$2:$C$15,B83),1,0)</f>
        <v>1</v>
      </c>
      <c r="G83">
        <v>169</v>
      </c>
      <c r="H83" s="13">
        <f t="shared" si="6"/>
        <v>130</v>
      </c>
      <c r="I83">
        <f t="shared" si="7"/>
        <v>264</v>
      </c>
      <c r="J83">
        <f t="shared" ref="J83:J146" si="22">I83+G83-H83</f>
        <v>303</v>
      </c>
      <c r="K83">
        <f t="shared" si="8"/>
        <v>0</v>
      </c>
      <c r="L83">
        <f t="shared" si="9"/>
        <v>130</v>
      </c>
      <c r="M83" s="13" t="str">
        <f t="shared" si="17"/>
        <v/>
      </c>
      <c r="N83">
        <f t="shared" ref="N83:N146" si="23">J84-J83</f>
        <v>26</v>
      </c>
      <c r="AT83" s="12" t="e">
        <f t="shared" si="20"/>
        <v>#N/A</v>
      </c>
      <c r="AU83" t="e">
        <f t="shared" si="20"/>
        <v>#N/A</v>
      </c>
      <c r="AV83" t="e">
        <f t="shared" si="20"/>
        <v>#N/A</v>
      </c>
      <c r="AW83" t="e">
        <f t="shared" si="20"/>
        <v>#N/A</v>
      </c>
      <c r="AX83">
        <f t="shared" si="20"/>
        <v>303</v>
      </c>
      <c r="AY83" t="e">
        <f t="shared" si="20"/>
        <v>#N/A</v>
      </c>
      <c r="AZ83" s="13" t="e">
        <f t="shared" si="20"/>
        <v>#N/A</v>
      </c>
      <c r="BB83">
        <v>313</v>
      </c>
    </row>
    <row r="84" spans="2:54" x14ac:dyDescent="0.45">
      <c r="B84" s="7">
        <v>5</v>
      </c>
      <c r="C84" s="13">
        <v>67</v>
      </c>
      <c r="D84">
        <v>4</v>
      </c>
      <c r="E84">
        <v>1</v>
      </c>
      <c r="F84">
        <f t="shared" si="21"/>
        <v>1</v>
      </c>
      <c r="G84">
        <v>156</v>
      </c>
      <c r="H84" s="13">
        <f t="shared" ref="H84:H86" si="24">IF(F84=1,MIN(I84,$F$8),0)</f>
        <v>130</v>
      </c>
      <c r="I84">
        <f t="shared" ref="I84:I147" si="25">J83</f>
        <v>303</v>
      </c>
      <c r="J84">
        <f t="shared" si="22"/>
        <v>329</v>
      </c>
      <c r="K84">
        <f t="shared" ref="K84:K147" si="26">IF(AND(H84=I84,F84=1),1,0)</f>
        <v>0</v>
      </c>
      <c r="L84">
        <f t="shared" ref="L84:L147" si="27">IF(OR(F84=0,K84=1),"",H84)</f>
        <v>130</v>
      </c>
      <c r="M84" s="13" t="str">
        <f t="shared" si="17"/>
        <v/>
      </c>
      <c r="N84">
        <f t="shared" si="23"/>
        <v>13</v>
      </c>
      <c r="AT84" s="12" t="e">
        <f t="shared" si="20"/>
        <v>#N/A</v>
      </c>
      <c r="AU84" t="e">
        <f t="shared" si="20"/>
        <v>#N/A</v>
      </c>
      <c r="AV84" t="e">
        <f t="shared" si="20"/>
        <v>#N/A</v>
      </c>
      <c r="AW84" t="e">
        <f t="shared" si="20"/>
        <v>#N/A</v>
      </c>
      <c r="AX84">
        <f t="shared" si="20"/>
        <v>329</v>
      </c>
      <c r="AY84" t="e">
        <f t="shared" si="20"/>
        <v>#N/A</v>
      </c>
      <c r="AZ84" s="13" t="e">
        <f t="shared" si="20"/>
        <v>#N/A</v>
      </c>
      <c r="BB84">
        <v>339</v>
      </c>
    </row>
    <row r="85" spans="2:54" x14ac:dyDescent="0.45">
      <c r="B85" s="7">
        <v>5</v>
      </c>
      <c r="C85" s="13">
        <v>68</v>
      </c>
      <c r="D85">
        <v>5</v>
      </c>
      <c r="E85">
        <v>1</v>
      </c>
      <c r="F85">
        <f t="shared" si="21"/>
        <v>1</v>
      </c>
      <c r="G85">
        <v>143</v>
      </c>
      <c r="H85" s="13">
        <f t="shared" si="24"/>
        <v>130</v>
      </c>
      <c r="I85">
        <f t="shared" si="25"/>
        <v>329</v>
      </c>
      <c r="J85">
        <f t="shared" si="22"/>
        <v>342</v>
      </c>
      <c r="K85">
        <f t="shared" si="26"/>
        <v>0</v>
      </c>
      <c r="L85">
        <f t="shared" si="27"/>
        <v>130</v>
      </c>
      <c r="M85" s="13" t="str">
        <f t="shared" si="17"/>
        <v/>
      </c>
      <c r="N85">
        <f t="shared" si="23"/>
        <v>-130</v>
      </c>
      <c r="AT85" s="12" t="e">
        <f t="shared" si="20"/>
        <v>#N/A</v>
      </c>
      <c r="AU85" t="e">
        <f t="shared" si="20"/>
        <v>#N/A</v>
      </c>
      <c r="AV85" t="e">
        <f t="shared" si="20"/>
        <v>#N/A</v>
      </c>
      <c r="AW85" t="e">
        <f t="shared" si="20"/>
        <v>#N/A</v>
      </c>
      <c r="AX85">
        <f t="shared" si="20"/>
        <v>342</v>
      </c>
      <c r="AY85" t="e">
        <f t="shared" si="20"/>
        <v>#N/A</v>
      </c>
      <c r="AZ85" s="13" t="e">
        <f t="shared" si="20"/>
        <v>#N/A</v>
      </c>
      <c r="BB85">
        <v>352</v>
      </c>
    </row>
    <row r="86" spans="2:54" x14ac:dyDescent="0.45">
      <c r="B86" s="7">
        <v>5</v>
      </c>
      <c r="C86" s="13">
        <v>69</v>
      </c>
      <c r="D86">
        <v>6</v>
      </c>
      <c r="E86">
        <v>0</v>
      </c>
      <c r="F86">
        <f t="shared" si="21"/>
        <v>1</v>
      </c>
      <c r="G86">
        <v>0</v>
      </c>
      <c r="H86" s="13">
        <f t="shared" si="24"/>
        <v>130</v>
      </c>
      <c r="I86">
        <f t="shared" si="25"/>
        <v>342</v>
      </c>
      <c r="J86">
        <f t="shared" si="22"/>
        <v>212</v>
      </c>
      <c r="K86">
        <f t="shared" si="26"/>
        <v>0</v>
      </c>
      <c r="L86">
        <f t="shared" si="27"/>
        <v>130</v>
      </c>
      <c r="M86" s="13" t="str">
        <f t="shared" si="17"/>
        <v/>
      </c>
      <c r="N86">
        <f t="shared" si="23"/>
        <v>0</v>
      </c>
      <c r="AT86" s="12" t="e">
        <f t="shared" si="20"/>
        <v>#N/A</v>
      </c>
      <c r="AU86" t="e">
        <f t="shared" si="20"/>
        <v>#N/A</v>
      </c>
      <c r="AV86" t="e">
        <f t="shared" si="20"/>
        <v>#N/A</v>
      </c>
      <c r="AW86" t="e">
        <f t="shared" si="20"/>
        <v>#N/A</v>
      </c>
      <c r="AX86">
        <f t="shared" si="20"/>
        <v>212</v>
      </c>
      <c r="AY86" t="e">
        <f t="shared" si="20"/>
        <v>#N/A</v>
      </c>
      <c r="AZ86" s="13" t="e">
        <f t="shared" si="20"/>
        <v>#N/A</v>
      </c>
      <c r="BB86">
        <v>352</v>
      </c>
    </row>
    <row r="87" spans="2:54" x14ac:dyDescent="0.45">
      <c r="B87" s="7">
        <v>5</v>
      </c>
      <c r="C87" s="13">
        <v>70</v>
      </c>
      <c r="D87" s="15">
        <v>7</v>
      </c>
      <c r="E87" s="15">
        <v>0</v>
      </c>
      <c r="F87">
        <f t="shared" si="21"/>
        <v>0</v>
      </c>
      <c r="G87" s="15">
        <v>0</v>
      </c>
      <c r="H87" s="13">
        <f>IF(F87=1,MIN(I87,$F$8),0)</f>
        <v>0</v>
      </c>
      <c r="I87">
        <f t="shared" si="25"/>
        <v>212</v>
      </c>
      <c r="J87">
        <f t="shared" si="22"/>
        <v>212</v>
      </c>
      <c r="K87">
        <f t="shared" si="26"/>
        <v>0</v>
      </c>
      <c r="L87" t="str">
        <f t="shared" si="27"/>
        <v/>
      </c>
      <c r="M87" s="13">
        <f t="shared" si="17"/>
        <v>-106</v>
      </c>
      <c r="N87">
        <f t="shared" si="23"/>
        <v>-6</v>
      </c>
      <c r="AT87" s="12" t="e">
        <f t="shared" si="20"/>
        <v>#N/A</v>
      </c>
      <c r="AU87" t="e">
        <f t="shared" si="20"/>
        <v>#N/A</v>
      </c>
      <c r="AV87" t="e">
        <f t="shared" si="20"/>
        <v>#N/A</v>
      </c>
      <c r="AW87" t="e">
        <f t="shared" si="20"/>
        <v>#N/A</v>
      </c>
      <c r="AX87">
        <f t="shared" si="20"/>
        <v>212</v>
      </c>
      <c r="AY87" t="e">
        <f t="shared" si="20"/>
        <v>#N/A</v>
      </c>
      <c r="AZ87" s="13" t="e">
        <f t="shared" si="20"/>
        <v>#N/A</v>
      </c>
      <c r="BB87">
        <v>352</v>
      </c>
    </row>
    <row r="88" spans="2:54" x14ac:dyDescent="0.45">
      <c r="B88" s="11">
        <v>6</v>
      </c>
      <c r="C88" s="13">
        <v>71</v>
      </c>
      <c r="D88" s="8">
        <v>1</v>
      </c>
      <c r="E88" s="8">
        <v>1</v>
      </c>
      <c r="F88">
        <f t="shared" si="21"/>
        <v>1</v>
      </c>
      <c r="G88" s="8">
        <v>144</v>
      </c>
      <c r="H88" s="13">
        <f>IF(F88=1,MIN(I88,$F$9),0)</f>
        <v>150</v>
      </c>
      <c r="I88">
        <f t="shared" si="25"/>
        <v>212</v>
      </c>
      <c r="J88">
        <f t="shared" si="22"/>
        <v>206</v>
      </c>
      <c r="K88">
        <f t="shared" si="26"/>
        <v>0</v>
      </c>
      <c r="L88">
        <f t="shared" si="27"/>
        <v>150</v>
      </c>
      <c r="M88" s="13" t="str">
        <f t="shared" si="17"/>
        <v/>
      </c>
      <c r="N88">
        <f t="shared" si="23"/>
        <v>-8</v>
      </c>
      <c r="AT88" s="12" t="e">
        <f t="shared" si="20"/>
        <v>#N/A</v>
      </c>
      <c r="AU88" t="e">
        <f t="shared" si="20"/>
        <v>#N/A</v>
      </c>
      <c r="AV88" t="e">
        <f t="shared" si="20"/>
        <v>#N/A</v>
      </c>
      <c r="AW88" t="e">
        <f t="shared" si="20"/>
        <v>#N/A</v>
      </c>
      <c r="AX88" t="e">
        <f t="shared" si="20"/>
        <v>#N/A</v>
      </c>
      <c r="AY88">
        <f t="shared" si="20"/>
        <v>206</v>
      </c>
      <c r="AZ88" s="13" t="e">
        <f t="shared" si="20"/>
        <v>#N/A</v>
      </c>
      <c r="BB88">
        <v>346</v>
      </c>
    </row>
    <row r="89" spans="2:54" x14ac:dyDescent="0.45">
      <c r="B89" s="11">
        <v>6</v>
      </c>
      <c r="C89" s="13">
        <v>72</v>
      </c>
      <c r="D89">
        <v>2</v>
      </c>
      <c r="E89">
        <v>1</v>
      </c>
      <c r="F89">
        <f t="shared" si="21"/>
        <v>1</v>
      </c>
      <c r="G89">
        <v>142</v>
      </c>
      <c r="H89" s="13">
        <f t="shared" ref="H89:H152" si="28">IF(F89=1,MIN(I89,$F$9),0)</f>
        <v>150</v>
      </c>
      <c r="I89">
        <f t="shared" si="25"/>
        <v>206</v>
      </c>
      <c r="J89">
        <f t="shared" si="22"/>
        <v>198</v>
      </c>
      <c r="K89">
        <f t="shared" si="26"/>
        <v>0</v>
      </c>
      <c r="L89">
        <f t="shared" si="27"/>
        <v>150</v>
      </c>
      <c r="M89" s="13" t="str">
        <f t="shared" si="17"/>
        <v/>
      </c>
      <c r="N89">
        <f t="shared" si="23"/>
        <v>-3</v>
      </c>
      <c r="AT89" s="12" t="e">
        <f t="shared" si="20"/>
        <v>#N/A</v>
      </c>
      <c r="AU89" t="e">
        <f t="shared" si="20"/>
        <v>#N/A</v>
      </c>
      <c r="AV89" t="e">
        <f t="shared" si="20"/>
        <v>#N/A</v>
      </c>
      <c r="AW89" t="e">
        <f t="shared" si="20"/>
        <v>#N/A</v>
      </c>
      <c r="AX89" t="e">
        <f t="shared" si="20"/>
        <v>#N/A</v>
      </c>
      <c r="AY89">
        <f t="shared" si="20"/>
        <v>198</v>
      </c>
      <c r="AZ89" s="13" t="e">
        <f t="shared" si="20"/>
        <v>#N/A</v>
      </c>
      <c r="BB89">
        <v>338</v>
      </c>
    </row>
    <row r="90" spans="2:54" x14ac:dyDescent="0.45">
      <c r="B90" s="11">
        <v>6</v>
      </c>
      <c r="C90" s="13">
        <v>73</v>
      </c>
      <c r="D90">
        <v>3</v>
      </c>
      <c r="E90">
        <v>1</v>
      </c>
      <c r="F90">
        <f t="shared" si="21"/>
        <v>1</v>
      </c>
      <c r="G90">
        <v>147</v>
      </c>
      <c r="H90" s="13">
        <f t="shared" si="28"/>
        <v>150</v>
      </c>
      <c r="I90">
        <f t="shared" si="25"/>
        <v>198</v>
      </c>
      <c r="J90">
        <f t="shared" si="22"/>
        <v>195</v>
      </c>
      <c r="K90">
        <f t="shared" si="26"/>
        <v>0</v>
      </c>
      <c r="L90">
        <f t="shared" si="27"/>
        <v>150</v>
      </c>
      <c r="M90" s="13" t="str">
        <f t="shared" si="17"/>
        <v/>
      </c>
      <c r="N90">
        <f t="shared" si="23"/>
        <v>-10</v>
      </c>
      <c r="AT90" s="12" t="e">
        <f t="shared" si="20"/>
        <v>#N/A</v>
      </c>
      <c r="AU90" t="e">
        <f t="shared" si="20"/>
        <v>#N/A</v>
      </c>
      <c r="AV90" t="e">
        <f t="shared" si="20"/>
        <v>#N/A</v>
      </c>
      <c r="AW90" t="e">
        <f t="shared" si="20"/>
        <v>#N/A</v>
      </c>
      <c r="AX90" t="e">
        <f t="shared" si="20"/>
        <v>#N/A</v>
      </c>
      <c r="AY90">
        <f t="shared" si="20"/>
        <v>195</v>
      </c>
      <c r="AZ90" s="13" t="e">
        <f t="shared" si="20"/>
        <v>#N/A</v>
      </c>
      <c r="BB90">
        <v>335</v>
      </c>
    </row>
    <row r="91" spans="2:54" x14ac:dyDescent="0.45">
      <c r="B91" s="11">
        <v>6</v>
      </c>
      <c r="C91" s="13">
        <v>74</v>
      </c>
      <c r="D91">
        <v>4</v>
      </c>
      <c r="E91">
        <v>1</v>
      </c>
      <c r="F91">
        <f t="shared" si="21"/>
        <v>1</v>
      </c>
      <c r="G91">
        <v>140</v>
      </c>
      <c r="H91" s="13">
        <f t="shared" si="28"/>
        <v>150</v>
      </c>
      <c r="I91">
        <f t="shared" si="25"/>
        <v>195</v>
      </c>
      <c r="J91">
        <f t="shared" si="22"/>
        <v>185</v>
      </c>
      <c r="K91">
        <f t="shared" si="26"/>
        <v>0</v>
      </c>
      <c r="L91">
        <f t="shared" si="27"/>
        <v>150</v>
      </c>
      <c r="M91" s="13" t="str">
        <f t="shared" si="17"/>
        <v/>
      </c>
      <c r="N91">
        <f t="shared" si="23"/>
        <v>11</v>
      </c>
      <c r="AT91" s="12" t="e">
        <f t="shared" si="20"/>
        <v>#N/A</v>
      </c>
      <c r="AU91" t="e">
        <f t="shared" si="20"/>
        <v>#N/A</v>
      </c>
      <c r="AV91" t="e">
        <f t="shared" si="20"/>
        <v>#N/A</v>
      </c>
      <c r="AW91" t="e">
        <f t="shared" si="20"/>
        <v>#N/A</v>
      </c>
      <c r="AX91" t="e">
        <f t="shared" si="20"/>
        <v>#N/A</v>
      </c>
      <c r="AY91">
        <f t="shared" si="20"/>
        <v>185</v>
      </c>
      <c r="AZ91" s="13" t="e">
        <f t="shared" si="20"/>
        <v>#N/A</v>
      </c>
      <c r="BB91">
        <v>325</v>
      </c>
    </row>
    <row r="92" spans="2:54" x14ac:dyDescent="0.45">
      <c r="B92" s="11">
        <v>6</v>
      </c>
      <c r="C92" s="13">
        <v>75</v>
      </c>
      <c r="D92">
        <v>5</v>
      </c>
      <c r="E92">
        <v>1</v>
      </c>
      <c r="F92">
        <f t="shared" si="21"/>
        <v>1</v>
      </c>
      <c r="G92">
        <v>161</v>
      </c>
      <c r="H92" s="13">
        <f t="shared" si="28"/>
        <v>150</v>
      </c>
      <c r="I92">
        <f t="shared" si="25"/>
        <v>185</v>
      </c>
      <c r="J92">
        <f t="shared" si="22"/>
        <v>196</v>
      </c>
      <c r="K92">
        <f t="shared" si="26"/>
        <v>0</v>
      </c>
      <c r="L92">
        <f t="shared" si="27"/>
        <v>150</v>
      </c>
      <c r="M92" s="13" t="str">
        <f t="shared" si="17"/>
        <v/>
      </c>
      <c r="N92">
        <f t="shared" si="23"/>
        <v>0</v>
      </c>
      <c r="AT92" s="12" t="e">
        <f t="shared" si="20"/>
        <v>#N/A</v>
      </c>
      <c r="AU92" t="e">
        <f t="shared" si="20"/>
        <v>#N/A</v>
      </c>
      <c r="AV92" t="e">
        <f t="shared" si="20"/>
        <v>#N/A</v>
      </c>
      <c r="AW92" t="e">
        <f t="shared" si="20"/>
        <v>#N/A</v>
      </c>
      <c r="AX92" t="e">
        <f t="shared" si="20"/>
        <v>#N/A</v>
      </c>
      <c r="AY92">
        <f t="shared" si="20"/>
        <v>196</v>
      </c>
      <c r="AZ92" s="13" t="e">
        <f t="shared" si="20"/>
        <v>#N/A</v>
      </c>
      <c r="BB92">
        <v>336</v>
      </c>
    </row>
    <row r="93" spans="2:54" x14ac:dyDescent="0.45">
      <c r="B93" s="11">
        <v>6</v>
      </c>
      <c r="C93" s="13">
        <v>76</v>
      </c>
      <c r="D93">
        <v>6</v>
      </c>
      <c r="E93">
        <v>0</v>
      </c>
      <c r="F93">
        <f t="shared" si="21"/>
        <v>0</v>
      </c>
      <c r="G93">
        <v>0</v>
      </c>
      <c r="H93" s="13">
        <f t="shared" si="28"/>
        <v>0</v>
      </c>
      <c r="I93">
        <f t="shared" si="25"/>
        <v>196</v>
      </c>
      <c r="J93">
        <f t="shared" si="22"/>
        <v>196</v>
      </c>
      <c r="K93">
        <f t="shared" si="26"/>
        <v>0</v>
      </c>
      <c r="L93" t="str">
        <f t="shared" si="27"/>
        <v/>
      </c>
      <c r="M93" s="13" t="str">
        <f t="shared" si="17"/>
        <v/>
      </c>
      <c r="N93">
        <f t="shared" si="23"/>
        <v>0</v>
      </c>
      <c r="AT93" s="12" t="e">
        <f t="shared" si="20"/>
        <v>#N/A</v>
      </c>
      <c r="AU93" t="e">
        <f t="shared" si="20"/>
        <v>#N/A</v>
      </c>
      <c r="AV93" t="e">
        <f t="shared" si="20"/>
        <v>#N/A</v>
      </c>
      <c r="AW93" t="e">
        <f t="shared" si="20"/>
        <v>#N/A</v>
      </c>
      <c r="AX93" t="e">
        <f t="shared" si="20"/>
        <v>#N/A</v>
      </c>
      <c r="AY93">
        <f t="shared" si="20"/>
        <v>196</v>
      </c>
      <c r="AZ93" s="13" t="e">
        <f t="shared" si="20"/>
        <v>#N/A</v>
      </c>
      <c r="BB93">
        <v>336</v>
      </c>
    </row>
    <row r="94" spans="2:54" x14ac:dyDescent="0.45">
      <c r="B94" s="11">
        <v>6</v>
      </c>
      <c r="C94" s="13">
        <v>77</v>
      </c>
      <c r="D94" s="15">
        <v>7</v>
      </c>
      <c r="E94" s="15">
        <v>0</v>
      </c>
      <c r="F94">
        <f t="shared" si="21"/>
        <v>0</v>
      </c>
      <c r="G94" s="15">
        <v>0</v>
      </c>
      <c r="H94" s="13">
        <f t="shared" si="28"/>
        <v>0</v>
      </c>
      <c r="I94">
        <f t="shared" si="25"/>
        <v>196</v>
      </c>
      <c r="J94">
        <f t="shared" si="22"/>
        <v>196</v>
      </c>
      <c r="K94">
        <f t="shared" si="26"/>
        <v>0</v>
      </c>
      <c r="L94" t="str">
        <f t="shared" si="27"/>
        <v/>
      </c>
      <c r="M94" s="13" t="str">
        <f t="shared" si="17"/>
        <v/>
      </c>
      <c r="N94">
        <f t="shared" si="23"/>
        <v>-75</v>
      </c>
      <c r="AT94" s="12" t="e">
        <f t="shared" si="20"/>
        <v>#N/A</v>
      </c>
      <c r="AU94" t="e">
        <f t="shared" si="20"/>
        <v>#N/A</v>
      </c>
      <c r="AV94" t="e">
        <f t="shared" si="20"/>
        <v>#N/A</v>
      </c>
      <c r="AW94" t="e">
        <f t="shared" si="20"/>
        <v>#N/A</v>
      </c>
      <c r="AX94" t="e">
        <f t="shared" si="20"/>
        <v>#N/A</v>
      </c>
      <c r="AY94">
        <f t="shared" si="20"/>
        <v>196</v>
      </c>
      <c r="AZ94" s="13" t="e">
        <f t="shared" si="20"/>
        <v>#N/A</v>
      </c>
      <c r="BB94">
        <v>336</v>
      </c>
    </row>
    <row r="95" spans="2:54" x14ac:dyDescent="0.45">
      <c r="B95" s="11">
        <v>6</v>
      </c>
      <c r="C95" s="13">
        <v>78</v>
      </c>
      <c r="D95" s="8">
        <v>1</v>
      </c>
      <c r="E95" s="8">
        <v>1</v>
      </c>
      <c r="F95">
        <f t="shared" si="21"/>
        <v>1</v>
      </c>
      <c r="G95" s="8">
        <v>75</v>
      </c>
      <c r="H95" s="13">
        <f t="shared" si="28"/>
        <v>150</v>
      </c>
      <c r="I95">
        <f t="shared" si="25"/>
        <v>196</v>
      </c>
      <c r="J95">
        <f t="shared" si="22"/>
        <v>121</v>
      </c>
      <c r="K95">
        <f t="shared" si="26"/>
        <v>0</v>
      </c>
      <c r="L95">
        <f t="shared" si="27"/>
        <v>150</v>
      </c>
      <c r="M95" s="13" t="str">
        <f t="shared" si="17"/>
        <v/>
      </c>
      <c r="N95">
        <f t="shared" si="23"/>
        <v>72</v>
      </c>
      <c r="AT95" s="12" t="e">
        <f t="shared" si="20"/>
        <v>#N/A</v>
      </c>
      <c r="AU95" t="e">
        <f t="shared" si="20"/>
        <v>#N/A</v>
      </c>
      <c r="AV95" t="e">
        <f t="shared" si="20"/>
        <v>#N/A</v>
      </c>
      <c r="AW95" t="e">
        <f t="shared" si="20"/>
        <v>#N/A</v>
      </c>
      <c r="AX95" t="e">
        <f t="shared" si="20"/>
        <v>#N/A</v>
      </c>
      <c r="AY95">
        <f t="shared" si="20"/>
        <v>121</v>
      </c>
      <c r="AZ95" s="13" t="e">
        <f t="shared" si="20"/>
        <v>#N/A</v>
      </c>
      <c r="BB95">
        <v>261</v>
      </c>
    </row>
    <row r="96" spans="2:54" x14ac:dyDescent="0.45">
      <c r="B96" s="11">
        <v>6</v>
      </c>
      <c r="C96" s="13">
        <v>79</v>
      </c>
      <c r="D96">
        <v>2</v>
      </c>
      <c r="E96">
        <v>1</v>
      </c>
      <c r="F96">
        <f t="shared" si="21"/>
        <v>1</v>
      </c>
      <c r="G96">
        <v>193</v>
      </c>
      <c r="H96" s="13">
        <f t="shared" si="28"/>
        <v>121</v>
      </c>
      <c r="I96">
        <f t="shared" si="25"/>
        <v>121</v>
      </c>
      <c r="J96">
        <f t="shared" si="22"/>
        <v>193</v>
      </c>
      <c r="K96">
        <f t="shared" si="26"/>
        <v>1</v>
      </c>
      <c r="L96" t="str">
        <f t="shared" si="27"/>
        <v/>
      </c>
      <c r="M96" s="13" t="str">
        <f t="shared" si="17"/>
        <v/>
      </c>
      <c r="N96">
        <f t="shared" si="23"/>
        <v>10</v>
      </c>
      <c r="AT96" s="12" t="e">
        <f t="shared" si="20"/>
        <v>#N/A</v>
      </c>
      <c r="AU96" t="e">
        <f t="shared" si="20"/>
        <v>#N/A</v>
      </c>
      <c r="AV96" t="e">
        <f t="shared" si="20"/>
        <v>#N/A</v>
      </c>
      <c r="AW96" t="e">
        <f t="shared" si="20"/>
        <v>#N/A</v>
      </c>
      <c r="AX96" t="e">
        <f t="shared" si="20"/>
        <v>#N/A</v>
      </c>
      <c r="AY96">
        <f t="shared" si="20"/>
        <v>193</v>
      </c>
      <c r="AZ96" s="13" t="e">
        <f t="shared" si="20"/>
        <v>#N/A</v>
      </c>
      <c r="BB96">
        <v>304</v>
      </c>
    </row>
    <row r="97" spans="2:54" x14ac:dyDescent="0.45">
      <c r="B97" s="11">
        <v>6</v>
      </c>
      <c r="C97" s="13">
        <v>80</v>
      </c>
      <c r="D97">
        <v>3</v>
      </c>
      <c r="E97">
        <v>1</v>
      </c>
      <c r="F97">
        <f t="shared" si="21"/>
        <v>1</v>
      </c>
      <c r="G97">
        <v>160</v>
      </c>
      <c r="H97" s="13">
        <f t="shared" si="28"/>
        <v>150</v>
      </c>
      <c r="I97">
        <f t="shared" si="25"/>
        <v>193</v>
      </c>
      <c r="J97">
        <f t="shared" si="22"/>
        <v>203</v>
      </c>
      <c r="K97">
        <f t="shared" si="26"/>
        <v>0</v>
      </c>
      <c r="L97">
        <f t="shared" si="27"/>
        <v>150</v>
      </c>
      <c r="M97" s="13" t="str">
        <f t="shared" si="17"/>
        <v/>
      </c>
      <c r="N97">
        <f t="shared" si="23"/>
        <v>-3</v>
      </c>
      <c r="AT97" s="12" t="e">
        <f t="shared" si="20"/>
        <v>#N/A</v>
      </c>
      <c r="AU97" t="e">
        <f t="shared" si="20"/>
        <v>#N/A</v>
      </c>
      <c r="AV97" t="e">
        <f t="shared" si="20"/>
        <v>#N/A</v>
      </c>
      <c r="AW97" t="e">
        <f t="shared" si="20"/>
        <v>#N/A</v>
      </c>
      <c r="AX97" t="e">
        <f t="shared" si="20"/>
        <v>#N/A</v>
      </c>
      <c r="AY97">
        <f t="shared" si="20"/>
        <v>203</v>
      </c>
      <c r="AZ97" s="13" t="e">
        <f t="shared" si="20"/>
        <v>#N/A</v>
      </c>
      <c r="BB97">
        <v>314</v>
      </c>
    </row>
    <row r="98" spans="2:54" x14ac:dyDescent="0.45">
      <c r="B98" s="11">
        <v>6</v>
      </c>
      <c r="C98" s="13">
        <v>81</v>
      </c>
      <c r="D98">
        <v>4</v>
      </c>
      <c r="E98">
        <v>1</v>
      </c>
      <c r="F98">
        <f t="shared" si="21"/>
        <v>1</v>
      </c>
      <c r="G98">
        <v>147</v>
      </c>
      <c r="H98" s="13">
        <f t="shared" si="28"/>
        <v>150</v>
      </c>
      <c r="I98">
        <f t="shared" si="25"/>
        <v>203</v>
      </c>
      <c r="J98">
        <f t="shared" si="22"/>
        <v>200</v>
      </c>
      <c r="K98">
        <f t="shared" si="26"/>
        <v>0</v>
      </c>
      <c r="L98">
        <f t="shared" si="27"/>
        <v>150</v>
      </c>
      <c r="M98" s="13" t="str">
        <f t="shared" si="17"/>
        <v/>
      </c>
      <c r="N98">
        <f t="shared" si="23"/>
        <v>-4</v>
      </c>
      <c r="AT98" s="12" t="e">
        <f t="shared" ref="AT98:AZ113" si="29">IF($B98=AT$17,$J98,NA())</f>
        <v>#N/A</v>
      </c>
      <c r="AU98" t="e">
        <f t="shared" si="29"/>
        <v>#N/A</v>
      </c>
      <c r="AV98" t="e">
        <f t="shared" si="29"/>
        <v>#N/A</v>
      </c>
      <c r="AW98" t="e">
        <f t="shared" si="29"/>
        <v>#N/A</v>
      </c>
      <c r="AX98" t="e">
        <f t="shared" si="29"/>
        <v>#N/A</v>
      </c>
      <c r="AY98">
        <f t="shared" si="29"/>
        <v>200</v>
      </c>
      <c r="AZ98" s="13" t="e">
        <f t="shared" si="29"/>
        <v>#N/A</v>
      </c>
      <c r="BB98">
        <v>311</v>
      </c>
    </row>
    <row r="99" spans="2:54" x14ac:dyDescent="0.45">
      <c r="B99" s="11">
        <v>6</v>
      </c>
      <c r="C99" s="13">
        <v>82</v>
      </c>
      <c r="D99">
        <v>5</v>
      </c>
      <c r="E99">
        <v>1</v>
      </c>
      <c r="F99">
        <f t="shared" si="21"/>
        <v>1</v>
      </c>
      <c r="G99">
        <v>146</v>
      </c>
      <c r="H99" s="13">
        <f t="shared" si="28"/>
        <v>150</v>
      </c>
      <c r="I99">
        <f t="shared" si="25"/>
        <v>200</v>
      </c>
      <c r="J99">
        <f t="shared" si="22"/>
        <v>196</v>
      </c>
      <c r="K99">
        <f t="shared" si="26"/>
        <v>0</v>
      </c>
      <c r="L99">
        <f t="shared" si="27"/>
        <v>150</v>
      </c>
      <c r="M99" s="13" t="str">
        <f t="shared" si="17"/>
        <v/>
      </c>
      <c r="N99">
        <f t="shared" si="23"/>
        <v>0</v>
      </c>
      <c r="AT99" s="12" t="e">
        <f t="shared" si="29"/>
        <v>#N/A</v>
      </c>
      <c r="AU99" t="e">
        <f t="shared" si="29"/>
        <v>#N/A</v>
      </c>
      <c r="AV99" t="e">
        <f t="shared" si="29"/>
        <v>#N/A</v>
      </c>
      <c r="AW99" t="e">
        <f t="shared" si="29"/>
        <v>#N/A</v>
      </c>
      <c r="AX99" t="e">
        <f t="shared" si="29"/>
        <v>#N/A</v>
      </c>
      <c r="AY99">
        <f t="shared" si="29"/>
        <v>196</v>
      </c>
      <c r="AZ99" s="13" t="e">
        <f t="shared" si="29"/>
        <v>#N/A</v>
      </c>
      <c r="BB99">
        <v>307</v>
      </c>
    </row>
    <row r="100" spans="2:54" x14ac:dyDescent="0.45">
      <c r="B100" s="11">
        <v>6</v>
      </c>
      <c r="C100" s="13">
        <v>83</v>
      </c>
      <c r="D100">
        <v>6</v>
      </c>
      <c r="E100">
        <v>0</v>
      </c>
      <c r="F100">
        <f t="shared" si="21"/>
        <v>0</v>
      </c>
      <c r="G100">
        <v>0</v>
      </c>
      <c r="H100" s="13">
        <f t="shared" si="28"/>
        <v>0</v>
      </c>
      <c r="I100">
        <f t="shared" si="25"/>
        <v>196</v>
      </c>
      <c r="J100">
        <f t="shared" si="22"/>
        <v>196</v>
      </c>
      <c r="K100">
        <f t="shared" si="26"/>
        <v>0</v>
      </c>
      <c r="L100" t="str">
        <f t="shared" si="27"/>
        <v/>
      </c>
      <c r="M100" s="13" t="str">
        <f t="shared" si="17"/>
        <v/>
      </c>
      <c r="N100">
        <f t="shared" si="23"/>
        <v>0</v>
      </c>
      <c r="AT100" s="12" t="e">
        <f t="shared" si="29"/>
        <v>#N/A</v>
      </c>
      <c r="AU100" t="e">
        <f t="shared" si="29"/>
        <v>#N/A</v>
      </c>
      <c r="AV100" t="e">
        <f t="shared" si="29"/>
        <v>#N/A</v>
      </c>
      <c r="AW100" t="e">
        <f t="shared" si="29"/>
        <v>#N/A</v>
      </c>
      <c r="AX100" t="e">
        <f t="shared" si="29"/>
        <v>#N/A</v>
      </c>
      <c r="AY100">
        <f t="shared" si="29"/>
        <v>196</v>
      </c>
      <c r="AZ100" s="13" t="e">
        <f t="shared" si="29"/>
        <v>#N/A</v>
      </c>
      <c r="BB100">
        <v>307</v>
      </c>
    </row>
    <row r="101" spans="2:54" x14ac:dyDescent="0.45">
      <c r="B101" s="11">
        <v>6</v>
      </c>
      <c r="C101" s="13">
        <v>84</v>
      </c>
      <c r="D101" s="15">
        <v>7</v>
      </c>
      <c r="E101" s="15">
        <v>0</v>
      </c>
      <c r="F101">
        <f t="shared" si="21"/>
        <v>0</v>
      </c>
      <c r="G101" s="15">
        <v>0</v>
      </c>
      <c r="H101" s="13">
        <f t="shared" si="28"/>
        <v>0</v>
      </c>
      <c r="I101">
        <f t="shared" si="25"/>
        <v>196</v>
      </c>
      <c r="J101">
        <f t="shared" si="22"/>
        <v>196</v>
      </c>
      <c r="K101">
        <f t="shared" si="26"/>
        <v>0</v>
      </c>
      <c r="L101" t="str">
        <f t="shared" si="27"/>
        <v/>
      </c>
      <c r="M101" s="13">
        <f t="shared" si="17"/>
        <v>-54</v>
      </c>
      <c r="N101">
        <f t="shared" si="23"/>
        <v>2</v>
      </c>
      <c r="AT101" s="12" t="e">
        <f t="shared" si="29"/>
        <v>#N/A</v>
      </c>
      <c r="AU101" t="e">
        <f t="shared" si="29"/>
        <v>#N/A</v>
      </c>
      <c r="AV101" t="e">
        <f t="shared" si="29"/>
        <v>#N/A</v>
      </c>
      <c r="AW101" t="e">
        <f t="shared" si="29"/>
        <v>#N/A</v>
      </c>
      <c r="AX101" t="e">
        <f t="shared" si="29"/>
        <v>#N/A</v>
      </c>
      <c r="AY101">
        <f t="shared" si="29"/>
        <v>196</v>
      </c>
      <c r="AZ101" s="13" t="e">
        <f t="shared" si="29"/>
        <v>#N/A</v>
      </c>
      <c r="BB101">
        <v>307</v>
      </c>
    </row>
    <row r="102" spans="2:54" x14ac:dyDescent="0.45">
      <c r="B102" s="7">
        <v>7</v>
      </c>
      <c r="C102" s="13">
        <v>85</v>
      </c>
      <c r="D102" s="8">
        <v>1</v>
      </c>
      <c r="E102" s="8">
        <v>1</v>
      </c>
      <c r="F102">
        <f t="shared" si="21"/>
        <v>1</v>
      </c>
      <c r="G102" s="8">
        <v>152</v>
      </c>
      <c r="H102" s="13">
        <f t="shared" si="28"/>
        <v>150</v>
      </c>
      <c r="I102">
        <f t="shared" si="25"/>
        <v>196</v>
      </c>
      <c r="J102">
        <f t="shared" si="22"/>
        <v>198</v>
      </c>
      <c r="K102">
        <f t="shared" si="26"/>
        <v>0</v>
      </c>
      <c r="L102">
        <f t="shared" si="27"/>
        <v>150</v>
      </c>
      <c r="M102" s="13" t="str">
        <f t="shared" si="17"/>
        <v/>
      </c>
      <c r="N102">
        <f t="shared" si="23"/>
        <v>11</v>
      </c>
      <c r="AT102" s="12" t="e">
        <f t="shared" si="29"/>
        <v>#N/A</v>
      </c>
      <c r="AU102" t="e">
        <f t="shared" si="29"/>
        <v>#N/A</v>
      </c>
      <c r="AV102" t="e">
        <f t="shared" si="29"/>
        <v>#N/A</v>
      </c>
      <c r="AW102" t="e">
        <f t="shared" si="29"/>
        <v>#N/A</v>
      </c>
      <c r="AX102" t="e">
        <f t="shared" si="29"/>
        <v>#N/A</v>
      </c>
      <c r="AY102" t="e">
        <f t="shared" si="29"/>
        <v>#N/A</v>
      </c>
      <c r="AZ102" s="13">
        <f t="shared" si="29"/>
        <v>198</v>
      </c>
      <c r="BB102">
        <v>309</v>
      </c>
    </row>
    <row r="103" spans="2:54" x14ac:dyDescent="0.45">
      <c r="B103" s="7">
        <v>7</v>
      </c>
      <c r="C103" s="13">
        <v>86</v>
      </c>
      <c r="D103">
        <v>2</v>
      </c>
      <c r="E103">
        <v>1</v>
      </c>
      <c r="F103">
        <f t="shared" si="21"/>
        <v>1</v>
      </c>
      <c r="G103">
        <v>161</v>
      </c>
      <c r="H103" s="13">
        <f t="shared" si="28"/>
        <v>150</v>
      </c>
      <c r="I103">
        <f t="shared" si="25"/>
        <v>198</v>
      </c>
      <c r="J103">
        <f t="shared" si="22"/>
        <v>209</v>
      </c>
      <c r="K103">
        <f t="shared" si="26"/>
        <v>0</v>
      </c>
      <c r="L103">
        <f t="shared" si="27"/>
        <v>150</v>
      </c>
      <c r="M103" s="13" t="str">
        <f t="shared" si="17"/>
        <v/>
      </c>
      <c r="N103">
        <f t="shared" si="23"/>
        <v>1</v>
      </c>
      <c r="AT103" s="12" t="e">
        <f t="shared" si="29"/>
        <v>#N/A</v>
      </c>
      <c r="AU103" t="e">
        <f t="shared" si="29"/>
        <v>#N/A</v>
      </c>
      <c r="AV103" t="e">
        <f t="shared" si="29"/>
        <v>#N/A</v>
      </c>
      <c r="AW103" t="e">
        <f t="shared" si="29"/>
        <v>#N/A</v>
      </c>
      <c r="AX103" t="e">
        <f t="shared" si="29"/>
        <v>#N/A</v>
      </c>
      <c r="AY103" t="e">
        <f t="shared" si="29"/>
        <v>#N/A</v>
      </c>
      <c r="AZ103" s="13">
        <f t="shared" si="29"/>
        <v>209</v>
      </c>
      <c r="BB103">
        <v>320</v>
      </c>
    </row>
    <row r="104" spans="2:54" x14ac:dyDescent="0.45">
      <c r="B104" s="7">
        <v>7</v>
      </c>
      <c r="C104" s="13">
        <v>87</v>
      </c>
      <c r="D104">
        <v>3</v>
      </c>
      <c r="E104">
        <v>1</v>
      </c>
      <c r="F104">
        <f t="shared" si="21"/>
        <v>1</v>
      </c>
      <c r="G104">
        <v>151</v>
      </c>
      <c r="H104" s="13">
        <f t="shared" si="28"/>
        <v>150</v>
      </c>
      <c r="I104">
        <f t="shared" si="25"/>
        <v>209</v>
      </c>
      <c r="J104">
        <f t="shared" si="22"/>
        <v>210</v>
      </c>
      <c r="K104">
        <f t="shared" si="26"/>
        <v>0</v>
      </c>
      <c r="L104">
        <f t="shared" si="27"/>
        <v>150</v>
      </c>
      <c r="M104" s="13" t="str">
        <f t="shared" si="17"/>
        <v/>
      </c>
      <c r="N104">
        <f t="shared" si="23"/>
        <v>11</v>
      </c>
      <c r="AT104" s="12" t="e">
        <f t="shared" si="29"/>
        <v>#N/A</v>
      </c>
      <c r="AU104" t="e">
        <f t="shared" si="29"/>
        <v>#N/A</v>
      </c>
      <c r="AV104" t="e">
        <f t="shared" si="29"/>
        <v>#N/A</v>
      </c>
      <c r="AW104" t="e">
        <f t="shared" si="29"/>
        <v>#N/A</v>
      </c>
      <c r="AX104" t="e">
        <f t="shared" si="29"/>
        <v>#N/A</v>
      </c>
      <c r="AY104" t="e">
        <f t="shared" si="29"/>
        <v>#N/A</v>
      </c>
      <c r="AZ104" s="13">
        <f t="shared" si="29"/>
        <v>210</v>
      </c>
      <c r="BB104">
        <v>321</v>
      </c>
    </row>
    <row r="105" spans="2:54" x14ac:dyDescent="0.45">
      <c r="B105" s="7">
        <v>7</v>
      </c>
      <c r="C105" s="13">
        <v>88</v>
      </c>
      <c r="D105">
        <v>4</v>
      </c>
      <c r="E105">
        <v>1</v>
      </c>
      <c r="F105">
        <f t="shared" si="21"/>
        <v>1</v>
      </c>
      <c r="G105">
        <v>161</v>
      </c>
      <c r="H105" s="13">
        <f t="shared" si="28"/>
        <v>150</v>
      </c>
      <c r="I105">
        <f t="shared" si="25"/>
        <v>210</v>
      </c>
      <c r="J105">
        <f t="shared" si="22"/>
        <v>221</v>
      </c>
      <c r="K105">
        <f t="shared" si="26"/>
        <v>0</v>
      </c>
      <c r="L105">
        <f t="shared" si="27"/>
        <v>150</v>
      </c>
      <c r="M105" s="13" t="str">
        <f t="shared" si="17"/>
        <v/>
      </c>
      <c r="N105">
        <f t="shared" si="23"/>
        <v>19</v>
      </c>
      <c r="AT105" s="12" t="e">
        <f t="shared" si="29"/>
        <v>#N/A</v>
      </c>
      <c r="AU105" t="e">
        <f t="shared" si="29"/>
        <v>#N/A</v>
      </c>
      <c r="AV105" t="e">
        <f t="shared" si="29"/>
        <v>#N/A</v>
      </c>
      <c r="AW105" t="e">
        <f t="shared" si="29"/>
        <v>#N/A</v>
      </c>
      <c r="AX105" t="e">
        <f t="shared" si="29"/>
        <v>#N/A</v>
      </c>
      <c r="AY105" t="e">
        <f t="shared" si="29"/>
        <v>#N/A</v>
      </c>
      <c r="AZ105" s="13">
        <f t="shared" si="29"/>
        <v>221</v>
      </c>
      <c r="BB105">
        <v>332</v>
      </c>
    </row>
    <row r="106" spans="2:54" x14ac:dyDescent="0.45">
      <c r="B106" s="7">
        <v>7</v>
      </c>
      <c r="C106" s="13">
        <v>89</v>
      </c>
      <c r="D106">
        <v>5</v>
      </c>
      <c r="E106">
        <v>1</v>
      </c>
      <c r="F106">
        <f t="shared" si="21"/>
        <v>1</v>
      </c>
      <c r="G106">
        <v>169</v>
      </c>
      <c r="H106" s="13">
        <f t="shared" si="28"/>
        <v>150</v>
      </c>
      <c r="I106">
        <f t="shared" si="25"/>
        <v>221</v>
      </c>
      <c r="J106">
        <f t="shared" si="22"/>
        <v>240</v>
      </c>
      <c r="K106">
        <f t="shared" si="26"/>
        <v>0</v>
      </c>
      <c r="L106">
        <f t="shared" si="27"/>
        <v>150</v>
      </c>
      <c r="M106" s="13" t="str">
        <f t="shared" si="17"/>
        <v/>
      </c>
      <c r="N106">
        <f t="shared" si="23"/>
        <v>0</v>
      </c>
      <c r="AT106" s="12" t="e">
        <f t="shared" si="29"/>
        <v>#N/A</v>
      </c>
      <c r="AU106" t="e">
        <f t="shared" si="29"/>
        <v>#N/A</v>
      </c>
      <c r="AV106" t="e">
        <f t="shared" si="29"/>
        <v>#N/A</v>
      </c>
      <c r="AW106" t="e">
        <f t="shared" si="29"/>
        <v>#N/A</v>
      </c>
      <c r="AX106" t="e">
        <f t="shared" si="29"/>
        <v>#N/A</v>
      </c>
      <c r="AY106" t="e">
        <f t="shared" si="29"/>
        <v>#N/A</v>
      </c>
      <c r="AZ106" s="13">
        <f t="shared" si="29"/>
        <v>240</v>
      </c>
      <c r="BB106">
        <v>351</v>
      </c>
    </row>
    <row r="107" spans="2:54" x14ac:dyDescent="0.45">
      <c r="B107" s="7">
        <v>7</v>
      </c>
      <c r="C107" s="13">
        <v>90</v>
      </c>
      <c r="D107">
        <v>6</v>
      </c>
      <c r="E107">
        <v>0</v>
      </c>
      <c r="F107">
        <f t="shared" si="21"/>
        <v>0</v>
      </c>
      <c r="G107">
        <v>0</v>
      </c>
      <c r="H107" s="13">
        <f t="shared" si="28"/>
        <v>0</v>
      </c>
      <c r="I107">
        <f t="shared" si="25"/>
        <v>240</v>
      </c>
      <c r="J107">
        <f t="shared" si="22"/>
        <v>240</v>
      </c>
      <c r="K107">
        <f t="shared" si="26"/>
        <v>0</v>
      </c>
      <c r="L107" t="str">
        <f t="shared" si="27"/>
        <v/>
      </c>
      <c r="M107" s="13" t="str">
        <f t="shared" si="17"/>
        <v/>
      </c>
      <c r="N107">
        <f t="shared" si="23"/>
        <v>0</v>
      </c>
      <c r="AT107" s="12" t="e">
        <f t="shared" si="29"/>
        <v>#N/A</v>
      </c>
      <c r="AU107" t="e">
        <f t="shared" si="29"/>
        <v>#N/A</v>
      </c>
      <c r="AV107" t="e">
        <f t="shared" si="29"/>
        <v>#N/A</v>
      </c>
      <c r="AW107" t="e">
        <f t="shared" si="29"/>
        <v>#N/A</v>
      </c>
      <c r="AX107" t="e">
        <f t="shared" si="29"/>
        <v>#N/A</v>
      </c>
      <c r="AY107" t="e">
        <f t="shared" si="29"/>
        <v>#N/A</v>
      </c>
      <c r="AZ107" s="13">
        <f t="shared" si="29"/>
        <v>240</v>
      </c>
      <c r="BB107">
        <v>351</v>
      </c>
    </row>
    <row r="108" spans="2:54" x14ac:dyDescent="0.45">
      <c r="B108" s="7">
        <v>7</v>
      </c>
      <c r="C108" s="13">
        <v>91</v>
      </c>
      <c r="D108" s="15">
        <v>7</v>
      </c>
      <c r="E108" s="15">
        <v>0</v>
      </c>
      <c r="F108">
        <f t="shared" si="21"/>
        <v>0</v>
      </c>
      <c r="G108" s="15">
        <v>0</v>
      </c>
      <c r="H108" s="13">
        <f t="shared" si="28"/>
        <v>0</v>
      </c>
      <c r="I108">
        <f t="shared" si="25"/>
        <v>240</v>
      </c>
      <c r="J108">
        <f t="shared" si="22"/>
        <v>240</v>
      </c>
      <c r="K108">
        <f t="shared" si="26"/>
        <v>0</v>
      </c>
      <c r="L108" t="str">
        <f t="shared" si="27"/>
        <v/>
      </c>
      <c r="M108" s="13" t="str">
        <f t="shared" si="17"/>
        <v/>
      </c>
      <c r="N108">
        <f t="shared" si="23"/>
        <v>-10</v>
      </c>
      <c r="AT108" s="12" t="e">
        <f t="shared" si="29"/>
        <v>#N/A</v>
      </c>
      <c r="AU108" t="e">
        <f t="shared" si="29"/>
        <v>#N/A</v>
      </c>
      <c r="AV108" t="e">
        <f t="shared" si="29"/>
        <v>#N/A</v>
      </c>
      <c r="AW108" t="e">
        <f t="shared" si="29"/>
        <v>#N/A</v>
      </c>
      <c r="AX108" t="e">
        <f t="shared" si="29"/>
        <v>#N/A</v>
      </c>
      <c r="AY108" t="e">
        <f t="shared" si="29"/>
        <v>#N/A</v>
      </c>
      <c r="AZ108" s="13">
        <f t="shared" si="29"/>
        <v>240</v>
      </c>
      <c r="BB108">
        <v>351</v>
      </c>
    </row>
    <row r="109" spans="2:54" x14ac:dyDescent="0.45">
      <c r="B109" s="7">
        <v>7</v>
      </c>
      <c r="C109" s="13">
        <v>92</v>
      </c>
      <c r="D109" s="8">
        <v>1</v>
      </c>
      <c r="E109" s="8">
        <v>1</v>
      </c>
      <c r="F109">
        <f t="shared" si="21"/>
        <v>1</v>
      </c>
      <c r="G109" s="8">
        <v>140</v>
      </c>
      <c r="H109" s="13">
        <f t="shared" si="28"/>
        <v>150</v>
      </c>
      <c r="I109">
        <f t="shared" si="25"/>
        <v>240</v>
      </c>
      <c r="J109">
        <f t="shared" si="22"/>
        <v>230</v>
      </c>
      <c r="K109">
        <f t="shared" si="26"/>
        <v>0</v>
      </c>
      <c r="L109">
        <f t="shared" si="27"/>
        <v>150</v>
      </c>
      <c r="M109" s="13" t="str">
        <f t="shared" si="17"/>
        <v/>
      </c>
      <c r="N109">
        <f t="shared" si="23"/>
        <v>-81</v>
      </c>
      <c r="AT109" s="12" t="e">
        <f t="shared" si="29"/>
        <v>#N/A</v>
      </c>
      <c r="AU109" t="e">
        <f t="shared" si="29"/>
        <v>#N/A</v>
      </c>
      <c r="AV109" t="e">
        <f t="shared" si="29"/>
        <v>#N/A</v>
      </c>
      <c r="AW109" t="e">
        <f t="shared" si="29"/>
        <v>#N/A</v>
      </c>
      <c r="AX109" t="e">
        <f t="shared" si="29"/>
        <v>#N/A</v>
      </c>
      <c r="AY109" t="e">
        <f t="shared" si="29"/>
        <v>#N/A</v>
      </c>
      <c r="AZ109" s="13">
        <f t="shared" si="29"/>
        <v>230</v>
      </c>
      <c r="BB109">
        <v>341</v>
      </c>
    </row>
    <row r="110" spans="2:54" x14ac:dyDescent="0.45">
      <c r="B110" s="7">
        <v>7</v>
      </c>
      <c r="C110" s="13">
        <v>93</v>
      </c>
      <c r="D110">
        <v>2</v>
      </c>
      <c r="E110">
        <v>1</v>
      </c>
      <c r="F110">
        <f t="shared" si="21"/>
        <v>1</v>
      </c>
      <c r="G110">
        <v>69</v>
      </c>
      <c r="H110" s="13">
        <f t="shared" si="28"/>
        <v>150</v>
      </c>
      <c r="I110">
        <f t="shared" si="25"/>
        <v>230</v>
      </c>
      <c r="J110">
        <f t="shared" si="22"/>
        <v>149</v>
      </c>
      <c r="K110">
        <f t="shared" si="26"/>
        <v>0</v>
      </c>
      <c r="L110">
        <f t="shared" si="27"/>
        <v>150</v>
      </c>
      <c r="M110" s="13" t="str">
        <f t="shared" ref="M110:M173" si="30">IF(B111&lt;&gt;B110,J110-I83,"")</f>
        <v/>
      </c>
      <c r="N110">
        <f t="shared" si="23"/>
        <v>56</v>
      </c>
      <c r="AT110" s="12" t="e">
        <f t="shared" si="29"/>
        <v>#N/A</v>
      </c>
      <c r="AU110" t="e">
        <f t="shared" si="29"/>
        <v>#N/A</v>
      </c>
      <c r="AV110" t="e">
        <f t="shared" si="29"/>
        <v>#N/A</v>
      </c>
      <c r="AW110" t="e">
        <f t="shared" si="29"/>
        <v>#N/A</v>
      </c>
      <c r="AX110" t="e">
        <f t="shared" si="29"/>
        <v>#N/A</v>
      </c>
      <c r="AY110" t="e">
        <f t="shared" si="29"/>
        <v>#N/A</v>
      </c>
      <c r="AZ110" s="13">
        <f t="shared" si="29"/>
        <v>149</v>
      </c>
      <c r="BB110">
        <v>260</v>
      </c>
    </row>
    <row r="111" spans="2:54" x14ac:dyDescent="0.45">
      <c r="B111" s="7">
        <v>7</v>
      </c>
      <c r="C111" s="13">
        <v>94</v>
      </c>
      <c r="D111">
        <v>3</v>
      </c>
      <c r="E111">
        <v>1</v>
      </c>
      <c r="F111">
        <f t="shared" si="21"/>
        <v>1</v>
      </c>
      <c r="G111">
        <v>205</v>
      </c>
      <c r="H111" s="13">
        <f t="shared" si="28"/>
        <v>149</v>
      </c>
      <c r="I111">
        <f t="shared" si="25"/>
        <v>149</v>
      </c>
      <c r="J111">
        <f t="shared" si="22"/>
        <v>205</v>
      </c>
      <c r="K111">
        <f t="shared" si="26"/>
        <v>1</v>
      </c>
      <c r="L111" t="str">
        <f t="shared" si="27"/>
        <v/>
      </c>
      <c r="M111" s="13" t="str">
        <f t="shared" si="30"/>
        <v/>
      </c>
      <c r="N111">
        <f t="shared" si="23"/>
        <v>2</v>
      </c>
      <c r="AT111" s="12" t="e">
        <f t="shared" si="29"/>
        <v>#N/A</v>
      </c>
      <c r="AU111" t="e">
        <f t="shared" si="29"/>
        <v>#N/A</v>
      </c>
      <c r="AV111" t="e">
        <f t="shared" si="29"/>
        <v>#N/A</v>
      </c>
      <c r="AW111" t="e">
        <f t="shared" si="29"/>
        <v>#N/A</v>
      </c>
      <c r="AX111" t="e">
        <f t="shared" si="29"/>
        <v>#N/A</v>
      </c>
      <c r="AY111" t="e">
        <f t="shared" si="29"/>
        <v>#N/A</v>
      </c>
      <c r="AZ111" s="13">
        <f t="shared" si="29"/>
        <v>205</v>
      </c>
      <c r="BB111">
        <v>315</v>
      </c>
    </row>
    <row r="112" spans="2:54" x14ac:dyDescent="0.45">
      <c r="B112" s="7">
        <v>7</v>
      </c>
      <c r="C112" s="13">
        <v>95</v>
      </c>
      <c r="D112">
        <v>4</v>
      </c>
      <c r="E112">
        <v>1</v>
      </c>
      <c r="F112">
        <f t="shared" si="21"/>
        <v>1</v>
      </c>
      <c r="G112">
        <v>152</v>
      </c>
      <c r="H112" s="13">
        <f t="shared" si="28"/>
        <v>150</v>
      </c>
      <c r="I112">
        <f t="shared" si="25"/>
        <v>205</v>
      </c>
      <c r="J112">
        <f t="shared" si="22"/>
        <v>207</v>
      </c>
      <c r="K112">
        <f t="shared" si="26"/>
        <v>0</v>
      </c>
      <c r="L112">
        <f t="shared" si="27"/>
        <v>150</v>
      </c>
      <c r="M112" s="13" t="str">
        <f t="shared" si="30"/>
        <v/>
      </c>
      <c r="N112">
        <f t="shared" si="23"/>
        <v>-5</v>
      </c>
      <c r="AT112" s="12" t="e">
        <f t="shared" si="29"/>
        <v>#N/A</v>
      </c>
      <c r="AU112" t="e">
        <f t="shared" si="29"/>
        <v>#N/A</v>
      </c>
      <c r="AV112" t="e">
        <f t="shared" si="29"/>
        <v>#N/A</v>
      </c>
      <c r="AW112" t="e">
        <f t="shared" si="29"/>
        <v>#N/A</v>
      </c>
      <c r="AX112" t="e">
        <f t="shared" si="29"/>
        <v>#N/A</v>
      </c>
      <c r="AY112" t="e">
        <f t="shared" si="29"/>
        <v>#N/A</v>
      </c>
      <c r="AZ112" s="13">
        <f t="shared" si="29"/>
        <v>207</v>
      </c>
      <c r="BB112">
        <v>317</v>
      </c>
    </row>
    <row r="113" spans="2:54" x14ac:dyDescent="0.45">
      <c r="B113" s="7">
        <v>7</v>
      </c>
      <c r="C113" s="13">
        <v>96</v>
      </c>
      <c r="D113">
        <v>5</v>
      </c>
      <c r="E113">
        <v>1</v>
      </c>
      <c r="F113">
        <f t="shared" si="21"/>
        <v>1</v>
      </c>
      <c r="G113">
        <v>145</v>
      </c>
      <c r="H113" s="13">
        <f t="shared" si="28"/>
        <v>150</v>
      </c>
      <c r="I113">
        <f t="shared" si="25"/>
        <v>207</v>
      </c>
      <c r="J113">
        <f t="shared" si="22"/>
        <v>202</v>
      </c>
      <c r="K113">
        <f t="shared" si="26"/>
        <v>0</v>
      </c>
      <c r="L113">
        <f t="shared" si="27"/>
        <v>150</v>
      </c>
      <c r="M113" s="13" t="str">
        <f t="shared" si="30"/>
        <v/>
      </c>
      <c r="N113">
        <f t="shared" si="23"/>
        <v>0</v>
      </c>
      <c r="AT113" s="12" t="e">
        <f t="shared" si="29"/>
        <v>#N/A</v>
      </c>
      <c r="AU113" t="e">
        <f t="shared" si="29"/>
        <v>#N/A</v>
      </c>
      <c r="AV113" t="e">
        <f t="shared" si="29"/>
        <v>#N/A</v>
      </c>
      <c r="AW113" t="e">
        <f t="shared" si="29"/>
        <v>#N/A</v>
      </c>
      <c r="AX113" t="e">
        <f t="shared" si="29"/>
        <v>#N/A</v>
      </c>
      <c r="AY113" t="e">
        <f t="shared" si="29"/>
        <v>#N/A</v>
      </c>
      <c r="AZ113" s="13">
        <f t="shared" si="29"/>
        <v>202</v>
      </c>
      <c r="BB113">
        <v>312</v>
      </c>
    </row>
    <row r="114" spans="2:54" x14ac:dyDescent="0.45">
      <c r="B114" s="7">
        <v>7</v>
      </c>
      <c r="C114" s="13">
        <v>97</v>
      </c>
      <c r="D114">
        <v>6</v>
      </c>
      <c r="E114">
        <v>0</v>
      </c>
      <c r="F114">
        <f t="shared" si="21"/>
        <v>0</v>
      </c>
      <c r="G114">
        <v>0</v>
      </c>
      <c r="H114" s="13">
        <f t="shared" si="28"/>
        <v>0</v>
      </c>
      <c r="I114">
        <f t="shared" si="25"/>
        <v>202</v>
      </c>
      <c r="J114">
        <f t="shared" si="22"/>
        <v>202</v>
      </c>
      <c r="K114">
        <f t="shared" si="26"/>
        <v>0</v>
      </c>
      <c r="L114" t="str">
        <f t="shared" si="27"/>
        <v/>
      </c>
      <c r="M114" s="13" t="str">
        <f t="shared" si="30"/>
        <v/>
      </c>
      <c r="N114">
        <f t="shared" si="23"/>
        <v>0</v>
      </c>
      <c r="AT114" s="12" t="e">
        <f t="shared" ref="AT114:AZ129" si="31">IF($B114=AT$17,$J114,NA())</f>
        <v>#N/A</v>
      </c>
      <c r="AU114" t="e">
        <f t="shared" si="31"/>
        <v>#N/A</v>
      </c>
      <c r="AV114" t="e">
        <f t="shared" si="31"/>
        <v>#N/A</v>
      </c>
      <c r="AW114" t="e">
        <f t="shared" si="31"/>
        <v>#N/A</v>
      </c>
      <c r="AX114" t="e">
        <f t="shared" si="31"/>
        <v>#N/A</v>
      </c>
      <c r="AY114" t="e">
        <f t="shared" si="31"/>
        <v>#N/A</v>
      </c>
      <c r="AZ114" s="13">
        <f t="shared" si="31"/>
        <v>202</v>
      </c>
      <c r="BB114">
        <v>312</v>
      </c>
    </row>
    <row r="115" spans="2:54" x14ac:dyDescent="0.45">
      <c r="B115" s="7">
        <v>7</v>
      </c>
      <c r="C115" s="13">
        <v>98</v>
      </c>
      <c r="D115" s="15">
        <v>7</v>
      </c>
      <c r="E115" s="15">
        <v>0</v>
      </c>
      <c r="F115">
        <f t="shared" si="21"/>
        <v>0</v>
      </c>
      <c r="G115" s="15">
        <v>0</v>
      </c>
      <c r="H115" s="13">
        <f t="shared" si="28"/>
        <v>0</v>
      </c>
      <c r="I115">
        <f t="shared" si="25"/>
        <v>202</v>
      </c>
      <c r="J115">
        <f t="shared" si="22"/>
        <v>202</v>
      </c>
      <c r="K115">
        <f t="shared" si="26"/>
        <v>0</v>
      </c>
      <c r="L115" t="str">
        <f t="shared" si="27"/>
        <v/>
      </c>
      <c r="M115" s="13">
        <f t="shared" si="30"/>
        <v>-10</v>
      </c>
      <c r="N115">
        <f t="shared" si="23"/>
        <v>21</v>
      </c>
      <c r="AT115" s="12" t="e">
        <f t="shared" si="31"/>
        <v>#N/A</v>
      </c>
      <c r="AU115" t="e">
        <f t="shared" si="31"/>
        <v>#N/A</v>
      </c>
      <c r="AV115" t="e">
        <f t="shared" si="31"/>
        <v>#N/A</v>
      </c>
      <c r="AW115" t="e">
        <f t="shared" si="31"/>
        <v>#N/A</v>
      </c>
      <c r="AX115" t="e">
        <f t="shared" si="31"/>
        <v>#N/A</v>
      </c>
      <c r="AY115" t="e">
        <f t="shared" si="31"/>
        <v>#N/A</v>
      </c>
      <c r="AZ115" s="13">
        <f t="shared" si="31"/>
        <v>202</v>
      </c>
      <c r="BB115">
        <v>312</v>
      </c>
    </row>
    <row r="116" spans="2:54" x14ac:dyDescent="0.45">
      <c r="B116" s="11">
        <v>8</v>
      </c>
      <c r="C116" s="13">
        <v>99</v>
      </c>
      <c r="D116" s="8">
        <v>1</v>
      </c>
      <c r="E116" s="8">
        <v>1</v>
      </c>
      <c r="F116">
        <f t="shared" si="21"/>
        <v>1</v>
      </c>
      <c r="G116" s="8">
        <v>171</v>
      </c>
      <c r="H116" s="13">
        <f t="shared" si="28"/>
        <v>150</v>
      </c>
      <c r="I116">
        <f t="shared" si="25"/>
        <v>202</v>
      </c>
      <c r="J116">
        <f t="shared" si="22"/>
        <v>223</v>
      </c>
      <c r="K116">
        <f t="shared" si="26"/>
        <v>0</v>
      </c>
      <c r="L116">
        <f t="shared" si="27"/>
        <v>150</v>
      </c>
      <c r="M116" s="13" t="str">
        <f t="shared" si="30"/>
        <v/>
      </c>
      <c r="N116">
        <f t="shared" si="23"/>
        <v>19</v>
      </c>
      <c r="AT116" s="12" t="e">
        <f t="shared" si="31"/>
        <v>#N/A</v>
      </c>
      <c r="AU116" t="e">
        <f t="shared" si="31"/>
        <v>#N/A</v>
      </c>
      <c r="AV116" t="e">
        <f t="shared" si="31"/>
        <v>#N/A</v>
      </c>
      <c r="AW116" t="e">
        <f t="shared" si="31"/>
        <v>#N/A</v>
      </c>
      <c r="AX116" t="e">
        <f t="shared" si="31"/>
        <v>#N/A</v>
      </c>
      <c r="AY116" t="e">
        <f t="shared" si="31"/>
        <v>#N/A</v>
      </c>
      <c r="AZ116" s="13" t="e">
        <f t="shared" si="31"/>
        <v>#N/A</v>
      </c>
      <c r="BB116">
        <v>333</v>
      </c>
    </row>
    <row r="117" spans="2:54" x14ac:dyDescent="0.45">
      <c r="B117" s="11">
        <v>8</v>
      </c>
      <c r="C117" s="13">
        <v>100</v>
      </c>
      <c r="D117">
        <v>2</v>
      </c>
      <c r="E117">
        <v>1</v>
      </c>
      <c r="F117">
        <f t="shared" si="21"/>
        <v>1</v>
      </c>
      <c r="G117">
        <v>169</v>
      </c>
      <c r="H117" s="13">
        <f t="shared" si="28"/>
        <v>150</v>
      </c>
      <c r="I117">
        <f t="shared" si="25"/>
        <v>223</v>
      </c>
      <c r="J117">
        <f t="shared" si="22"/>
        <v>242</v>
      </c>
      <c r="K117">
        <f t="shared" si="26"/>
        <v>0</v>
      </c>
      <c r="L117">
        <f t="shared" si="27"/>
        <v>150</v>
      </c>
      <c r="M117" s="13" t="str">
        <f t="shared" si="30"/>
        <v/>
      </c>
      <c r="N117">
        <f t="shared" si="23"/>
        <v>20</v>
      </c>
      <c r="AT117" s="12" t="e">
        <f t="shared" si="31"/>
        <v>#N/A</v>
      </c>
      <c r="AU117" t="e">
        <f t="shared" si="31"/>
        <v>#N/A</v>
      </c>
      <c r="AV117" t="e">
        <f t="shared" si="31"/>
        <v>#N/A</v>
      </c>
      <c r="AW117" t="e">
        <f t="shared" si="31"/>
        <v>#N/A</v>
      </c>
      <c r="AX117" t="e">
        <f t="shared" si="31"/>
        <v>#N/A</v>
      </c>
      <c r="AY117" t="e">
        <f t="shared" si="31"/>
        <v>#N/A</v>
      </c>
      <c r="AZ117" s="13" t="e">
        <f t="shared" si="31"/>
        <v>#N/A</v>
      </c>
      <c r="BB117">
        <v>352</v>
      </c>
    </row>
    <row r="118" spans="2:54" x14ac:dyDescent="0.45">
      <c r="B118" s="11">
        <v>8</v>
      </c>
      <c r="C118" s="13">
        <v>101</v>
      </c>
      <c r="D118">
        <v>3</v>
      </c>
      <c r="E118">
        <v>1</v>
      </c>
      <c r="F118">
        <f t="shared" si="21"/>
        <v>1</v>
      </c>
      <c r="G118">
        <v>170</v>
      </c>
      <c r="H118" s="13">
        <f t="shared" si="28"/>
        <v>150</v>
      </c>
      <c r="I118">
        <f t="shared" si="25"/>
        <v>242</v>
      </c>
      <c r="J118">
        <f t="shared" si="22"/>
        <v>262</v>
      </c>
      <c r="K118">
        <f t="shared" si="26"/>
        <v>0</v>
      </c>
      <c r="L118">
        <f t="shared" si="27"/>
        <v>150</v>
      </c>
      <c r="M118" s="13" t="str">
        <f t="shared" si="30"/>
        <v/>
      </c>
      <c r="N118">
        <f t="shared" si="23"/>
        <v>33</v>
      </c>
      <c r="AT118" s="12" t="e">
        <f t="shared" si="31"/>
        <v>#N/A</v>
      </c>
      <c r="AU118" t="e">
        <f t="shared" si="31"/>
        <v>#N/A</v>
      </c>
      <c r="AV118" t="e">
        <f t="shared" si="31"/>
        <v>#N/A</v>
      </c>
      <c r="AW118" t="e">
        <f t="shared" si="31"/>
        <v>#N/A</v>
      </c>
      <c r="AX118" t="e">
        <f t="shared" si="31"/>
        <v>#N/A</v>
      </c>
      <c r="AY118" t="e">
        <f t="shared" si="31"/>
        <v>#N/A</v>
      </c>
      <c r="AZ118" s="13" t="e">
        <f t="shared" si="31"/>
        <v>#N/A</v>
      </c>
      <c r="BB118">
        <v>372</v>
      </c>
    </row>
    <row r="119" spans="2:54" x14ac:dyDescent="0.45">
      <c r="B119" s="11">
        <v>8</v>
      </c>
      <c r="C119" s="13">
        <v>102</v>
      </c>
      <c r="D119">
        <v>4</v>
      </c>
      <c r="E119">
        <v>1</v>
      </c>
      <c r="F119">
        <f t="shared" si="21"/>
        <v>1</v>
      </c>
      <c r="G119">
        <v>183</v>
      </c>
      <c r="H119" s="13">
        <f t="shared" si="28"/>
        <v>150</v>
      </c>
      <c r="I119">
        <f t="shared" si="25"/>
        <v>262</v>
      </c>
      <c r="J119">
        <f t="shared" si="22"/>
        <v>295</v>
      </c>
      <c r="K119">
        <f t="shared" si="26"/>
        <v>0</v>
      </c>
      <c r="L119">
        <f t="shared" si="27"/>
        <v>150</v>
      </c>
      <c r="M119" s="13" t="str">
        <f t="shared" si="30"/>
        <v/>
      </c>
      <c r="N119">
        <f t="shared" si="23"/>
        <v>30</v>
      </c>
      <c r="AT119" s="12" t="e">
        <f t="shared" si="31"/>
        <v>#N/A</v>
      </c>
      <c r="AU119" t="e">
        <f t="shared" si="31"/>
        <v>#N/A</v>
      </c>
      <c r="AV119" t="e">
        <f t="shared" si="31"/>
        <v>#N/A</v>
      </c>
      <c r="AW119" t="e">
        <f t="shared" si="31"/>
        <v>#N/A</v>
      </c>
      <c r="AX119" t="e">
        <f t="shared" si="31"/>
        <v>#N/A</v>
      </c>
      <c r="AY119" t="e">
        <f t="shared" si="31"/>
        <v>#N/A</v>
      </c>
      <c r="AZ119" s="13" t="e">
        <f t="shared" si="31"/>
        <v>#N/A</v>
      </c>
      <c r="BB119">
        <v>405</v>
      </c>
    </row>
    <row r="120" spans="2:54" x14ac:dyDescent="0.45">
      <c r="B120" s="11">
        <v>8</v>
      </c>
      <c r="C120" s="13">
        <v>103</v>
      </c>
      <c r="D120">
        <v>5</v>
      </c>
      <c r="E120">
        <v>1</v>
      </c>
      <c r="F120">
        <f t="shared" si="21"/>
        <v>1</v>
      </c>
      <c r="G120">
        <v>180</v>
      </c>
      <c r="H120" s="13">
        <f t="shared" si="28"/>
        <v>150</v>
      </c>
      <c r="I120">
        <f t="shared" si="25"/>
        <v>295</v>
      </c>
      <c r="J120">
        <f t="shared" si="22"/>
        <v>325</v>
      </c>
      <c r="K120">
        <f t="shared" si="26"/>
        <v>0</v>
      </c>
      <c r="L120">
        <f t="shared" si="27"/>
        <v>150</v>
      </c>
      <c r="M120" s="13" t="str">
        <f t="shared" si="30"/>
        <v/>
      </c>
      <c r="N120">
        <f t="shared" si="23"/>
        <v>-150</v>
      </c>
      <c r="AT120" s="12" t="e">
        <f t="shared" si="31"/>
        <v>#N/A</v>
      </c>
      <c r="AU120" t="e">
        <f t="shared" si="31"/>
        <v>#N/A</v>
      </c>
      <c r="AV120" t="e">
        <f t="shared" si="31"/>
        <v>#N/A</v>
      </c>
      <c r="AW120" t="e">
        <f t="shared" si="31"/>
        <v>#N/A</v>
      </c>
      <c r="AX120" t="e">
        <f t="shared" si="31"/>
        <v>#N/A</v>
      </c>
      <c r="AY120" t="e">
        <f t="shared" si="31"/>
        <v>#N/A</v>
      </c>
      <c r="AZ120" s="13" t="e">
        <f t="shared" si="31"/>
        <v>#N/A</v>
      </c>
      <c r="BB120">
        <v>435</v>
      </c>
    </row>
    <row r="121" spans="2:54" x14ac:dyDescent="0.45">
      <c r="B121" s="11">
        <v>8</v>
      </c>
      <c r="C121" s="13">
        <v>104</v>
      </c>
      <c r="D121">
        <v>6</v>
      </c>
      <c r="E121">
        <v>0</v>
      </c>
      <c r="F121">
        <f t="shared" si="21"/>
        <v>1</v>
      </c>
      <c r="G121">
        <v>0</v>
      </c>
      <c r="H121" s="13">
        <f t="shared" si="28"/>
        <v>150</v>
      </c>
      <c r="I121">
        <f t="shared" si="25"/>
        <v>325</v>
      </c>
      <c r="J121">
        <f t="shared" si="22"/>
        <v>175</v>
      </c>
      <c r="K121">
        <f t="shared" si="26"/>
        <v>0</v>
      </c>
      <c r="L121">
        <f t="shared" si="27"/>
        <v>150</v>
      </c>
      <c r="M121" s="13" t="str">
        <f t="shared" si="30"/>
        <v/>
      </c>
      <c r="N121">
        <f t="shared" si="23"/>
        <v>0</v>
      </c>
      <c r="AT121" s="12" t="e">
        <f t="shared" si="31"/>
        <v>#N/A</v>
      </c>
      <c r="AU121" t="e">
        <f t="shared" si="31"/>
        <v>#N/A</v>
      </c>
      <c r="AV121" t="e">
        <f t="shared" si="31"/>
        <v>#N/A</v>
      </c>
      <c r="AW121" t="e">
        <f t="shared" si="31"/>
        <v>#N/A</v>
      </c>
      <c r="AX121" t="e">
        <f t="shared" si="31"/>
        <v>#N/A</v>
      </c>
      <c r="AY121" t="e">
        <f t="shared" si="31"/>
        <v>#N/A</v>
      </c>
      <c r="AZ121" s="13" t="e">
        <f t="shared" si="31"/>
        <v>#N/A</v>
      </c>
      <c r="BB121">
        <v>435</v>
      </c>
    </row>
    <row r="122" spans="2:54" x14ac:dyDescent="0.45">
      <c r="B122" s="11">
        <v>8</v>
      </c>
      <c r="C122" s="13">
        <v>105</v>
      </c>
      <c r="D122" s="15">
        <v>7</v>
      </c>
      <c r="E122" s="15">
        <v>0</v>
      </c>
      <c r="F122">
        <f t="shared" si="21"/>
        <v>0</v>
      </c>
      <c r="G122" s="15">
        <v>0</v>
      </c>
      <c r="H122" s="13">
        <f t="shared" si="28"/>
        <v>0</v>
      </c>
      <c r="I122">
        <f t="shared" si="25"/>
        <v>175</v>
      </c>
      <c r="J122">
        <f t="shared" si="22"/>
        <v>175</v>
      </c>
      <c r="K122">
        <f t="shared" si="26"/>
        <v>0</v>
      </c>
      <c r="L122" t="str">
        <f t="shared" si="27"/>
        <v/>
      </c>
      <c r="M122" s="13" t="str">
        <f t="shared" si="30"/>
        <v/>
      </c>
      <c r="N122">
        <f t="shared" si="23"/>
        <v>6</v>
      </c>
      <c r="AT122" s="12" t="e">
        <f t="shared" si="31"/>
        <v>#N/A</v>
      </c>
      <c r="AU122" t="e">
        <f t="shared" si="31"/>
        <v>#N/A</v>
      </c>
      <c r="AV122" t="e">
        <f t="shared" si="31"/>
        <v>#N/A</v>
      </c>
      <c r="AW122" t="e">
        <f t="shared" si="31"/>
        <v>#N/A</v>
      </c>
      <c r="AX122" t="e">
        <f t="shared" si="31"/>
        <v>#N/A</v>
      </c>
      <c r="AY122" t="e">
        <f t="shared" si="31"/>
        <v>#N/A</v>
      </c>
      <c r="AZ122" s="13" t="e">
        <f t="shared" si="31"/>
        <v>#N/A</v>
      </c>
      <c r="BB122">
        <v>435</v>
      </c>
    </row>
    <row r="123" spans="2:54" x14ac:dyDescent="0.45">
      <c r="B123" s="11">
        <v>8</v>
      </c>
      <c r="C123" s="13">
        <v>106</v>
      </c>
      <c r="D123" s="8">
        <v>1</v>
      </c>
      <c r="E123" s="8">
        <v>1</v>
      </c>
      <c r="F123">
        <f t="shared" si="21"/>
        <v>1</v>
      </c>
      <c r="G123" s="8">
        <v>156</v>
      </c>
      <c r="H123" s="13">
        <f t="shared" si="28"/>
        <v>150</v>
      </c>
      <c r="I123">
        <f t="shared" si="25"/>
        <v>175</v>
      </c>
      <c r="J123">
        <f t="shared" si="22"/>
        <v>181</v>
      </c>
      <c r="K123">
        <f t="shared" si="26"/>
        <v>0</v>
      </c>
      <c r="L123">
        <f t="shared" si="27"/>
        <v>150</v>
      </c>
      <c r="M123" s="13" t="str">
        <f t="shared" si="30"/>
        <v/>
      </c>
      <c r="N123">
        <f t="shared" si="23"/>
        <v>18</v>
      </c>
      <c r="AT123" s="12" t="e">
        <f t="shared" si="31"/>
        <v>#N/A</v>
      </c>
      <c r="AU123" t="e">
        <f t="shared" si="31"/>
        <v>#N/A</v>
      </c>
      <c r="AV123" t="e">
        <f t="shared" si="31"/>
        <v>#N/A</v>
      </c>
      <c r="AW123" t="e">
        <f t="shared" si="31"/>
        <v>#N/A</v>
      </c>
      <c r="AX123" t="e">
        <f t="shared" si="31"/>
        <v>#N/A</v>
      </c>
      <c r="AY123" t="e">
        <f t="shared" si="31"/>
        <v>#N/A</v>
      </c>
      <c r="AZ123" s="13" t="e">
        <f t="shared" si="31"/>
        <v>#N/A</v>
      </c>
      <c r="BB123">
        <v>441</v>
      </c>
    </row>
    <row r="124" spans="2:54" x14ac:dyDescent="0.45">
      <c r="B124" s="11">
        <v>8</v>
      </c>
      <c r="C124" s="13">
        <v>107</v>
      </c>
      <c r="D124">
        <v>2</v>
      </c>
      <c r="E124">
        <v>1</v>
      </c>
      <c r="F124">
        <f t="shared" si="21"/>
        <v>1</v>
      </c>
      <c r="G124">
        <v>168</v>
      </c>
      <c r="H124" s="13">
        <f t="shared" si="28"/>
        <v>150</v>
      </c>
      <c r="I124">
        <f t="shared" si="25"/>
        <v>181</v>
      </c>
      <c r="J124">
        <f t="shared" si="22"/>
        <v>199</v>
      </c>
      <c r="K124">
        <f t="shared" si="26"/>
        <v>0</v>
      </c>
      <c r="L124">
        <f t="shared" si="27"/>
        <v>150</v>
      </c>
      <c r="M124" s="13" t="str">
        <f t="shared" si="30"/>
        <v/>
      </c>
      <c r="N124">
        <f t="shared" si="23"/>
        <v>6</v>
      </c>
      <c r="AT124" s="12" t="e">
        <f t="shared" si="31"/>
        <v>#N/A</v>
      </c>
      <c r="AU124" t="e">
        <f t="shared" si="31"/>
        <v>#N/A</v>
      </c>
      <c r="AV124" t="e">
        <f t="shared" si="31"/>
        <v>#N/A</v>
      </c>
      <c r="AW124" t="e">
        <f t="shared" si="31"/>
        <v>#N/A</v>
      </c>
      <c r="AX124" t="e">
        <f t="shared" si="31"/>
        <v>#N/A</v>
      </c>
      <c r="AY124" t="e">
        <f t="shared" si="31"/>
        <v>#N/A</v>
      </c>
      <c r="AZ124" s="13" t="e">
        <f t="shared" si="31"/>
        <v>#N/A</v>
      </c>
      <c r="BB124">
        <v>459</v>
      </c>
    </row>
    <row r="125" spans="2:54" x14ac:dyDescent="0.45">
      <c r="B125" s="11">
        <v>8</v>
      </c>
      <c r="C125" s="13">
        <v>108</v>
      </c>
      <c r="D125">
        <v>3</v>
      </c>
      <c r="E125">
        <v>1</v>
      </c>
      <c r="F125">
        <f t="shared" si="21"/>
        <v>1</v>
      </c>
      <c r="G125">
        <v>156</v>
      </c>
      <c r="H125" s="13">
        <f t="shared" si="28"/>
        <v>150</v>
      </c>
      <c r="I125">
        <f t="shared" si="25"/>
        <v>199</v>
      </c>
      <c r="J125">
        <f t="shared" si="22"/>
        <v>205</v>
      </c>
      <c r="K125">
        <f t="shared" si="26"/>
        <v>0</v>
      </c>
      <c r="L125">
        <f t="shared" si="27"/>
        <v>150</v>
      </c>
      <c r="M125" s="13" t="str">
        <f t="shared" si="30"/>
        <v/>
      </c>
      <c r="N125">
        <f t="shared" si="23"/>
        <v>39</v>
      </c>
      <c r="AT125" s="12" t="e">
        <f t="shared" si="31"/>
        <v>#N/A</v>
      </c>
      <c r="AU125" t="e">
        <f t="shared" si="31"/>
        <v>#N/A</v>
      </c>
      <c r="AV125" t="e">
        <f t="shared" si="31"/>
        <v>#N/A</v>
      </c>
      <c r="AW125" t="e">
        <f t="shared" si="31"/>
        <v>#N/A</v>
      </c>
      <c r="AX125" t="e">
        <f t="shared" si="31"/>
        <v>#N/A</v>
      </c>
      <c r="AY125" t="e">
        <f t="shared" si="31"/>
        <v>#N/A</v>
      </c>
      <c r="AZ125" s="13" t="e">
        <f t="shared" si="31"/>
        <v>#N/A</v>
      </c>
      <c r="BB125">
        <v>465</v>
      </c>
    </row>
    <row r="126" spans="2:54" x14ac:dyDescent="0.45">
      <c r="B126" s="11">
        <v>8</v>
      </c>
      <c r="C126" s="13">
        <v>109</v>
      </c>
      <c r="D126">
        <v>4</v>
      </c>
      <c r="E126">
        <v>1</v>
      </c>
      <c r="F126">
        <f t="shared" si="21"/>
        <v>1</v>
      </c>
      <c r="G126">
        <v>189</v>
      </c>
      <c r="H126" s="13">
        <f t="shared" si="28"/>
        <v>150</v>
      </c>
      <c r="I126">
        <f t="shared" si="25"/>
        <v>205</v>
      </c>
      <c r="J126">
        <f t="shared" si="22"/>
        <v>244</v>
      </c>
      <c r="K126">
        <f t="shared" si="26"/>
        <v>0</v>
      </c>
      <c r="L126">
        <f t="shared" si="27"/>
        <v>150</v>
      </c>
      <c r="M126" s="13" t="str">
        <f t="shared" si="30"/>
        <v/>
      </c>
      <c r="N126">
        <f t="shared" si="23"/>
        <v>11</v>
      </c>
      <c r="AT126" s="12" t="e">
        <f t="shared" si="31"/>
        <v>#N/A</v>
      </c>
      <c r="AU126" t="e">
        <f t="shared" si="31"/>
        <v>#N/A</v>
      </c>
      <c r="AV126" t="e">
        <f t="shared" si="31"/>
        <v>#N/A</v>
      </c>
      <c r="AW126" t="e">
        <f t="shared" si="31"/>
        <v>#N/A</v>
      </c>
      <c r="AX126" t="e">
        <f t="shared" si="31"/>
        <v>#N/A</v>
      </c>
      <c r="AY126" t="e">
        <f t="shared" si="31"/>
        <v>#N/A</v>
      </c>
      <c r="AZ126" s="13" t="e">
        <f t="shared" si="31"/>
        <v>#N/A</v>
      </c>
      <c r="BB126">
        <v>504</v>
      </c>
    </row>
    <row r="127" spans="2:54" x14ac:dyDescent="0.45">
      <c r="B127" s="11">
        <v>8</v>
      </c>
      <c r="C127" s="13">
        <v>110</v>
      </c>
      <c r="D127">
        <v>5</v>
      </c>
      <c r="E127">
        <v>1</v>
      </c>
      <c r="F127">
        <f t="shared" si="21"/>
        <v>1</v>
      </c>
      <c r="G127">
        <v>161</v>
      </c>
      <c r="H127" s="13">
        <f t="shared" si="28"/>
        <v>150</v>
      </c>
      <c r="I127">
        <f t="shared" si="25"/>
        <v>244</v>
      </c>
      <c r="J127">
        <f t="shared" si="22"/>
        <v>255</v>
      </c>
      <c r="K127">
        <f t="shared" si="26"/>
        <v>0</v>
      </c>
      <c r="L127">
        <f t="shared" si="27"/>
        <v>150</v>
      </c>
      <c r="M127" s="13" t="str">
        <f t="shared" si="30"/>
        <v/>
      </c>
      <c r="N127">
        <f t="shared" si="23"/>
        <v>-150</v>
      </c>
      <c r="AT127" s="12" t="e">
        <f t="shared" si="31"/>
        <v>#N/A</v>
      </c>
      <c r="AU127" t="e">
        <f t="shared" si="31"/>
        <v>#N/A</v>
      </c>
      <c r="AV127" t="e">
        <f t="shared" si="31"/>
        <v>#N/A</v>
      </c>
      <c r="AW127" t="e">
        <f t="shared" si="31"/>
        <v>#N/A</v>
      </c>
      <c r="AX127" t="e">
        <f t="shared" si="31"/>
        <v>#N/A</v>
      </c>
      <c r="AY127" t="e">
        <f t="shared" si="31"/>
        <v>#N/A</v>
      </c>
      <c r="AZ127" s="13" t="e">
        <f t="shared" si="31"/>
        <v>#N/A</v>
      </c>
      <c r="BB127">
        <v>515</v>
      </c>
    </row>
    <row r="128" spans="2:54" x14ac:dyDescent="0.45">
      <c r="B128" s="11">
        <v>8</v>
      </c>
      <c r="C128" s="13">
        <v>111</v>
      </c>
      <c r="D128">
        <v>6</v>
      </c>
      <c r="E128">
        <v>0</v>
      </c>
      <c r="F128">
        <f t="shared" si="21"/>
        <v>1</v>
      </c>
      <c r="G128">
        <v>0</v>
      </c>
      <c r="H128" s="13">
        <f t="shared" si="28"/>
        <v>150</v>
      </c>
      <c r="I128">
        <f t="shared" si="25"/>
        <v>255</v>
      </c>
      <c r="J128">
        <f t="shared" si="22"/>
        <v>105</v>
      </c>
      <c r="K128">
        <f t="shared" si="26"/>
        <v>0</v>
      </c>
      <c r="L128">
        <f t="shared" si="27"/>
        <v>150</v>
      </c>
      <c r="M128" s="13" t="str">
        <f t="shared" si="30"/>
        <v/>
      </c>
      <c r="N128">
        <f t="shared" si="23"/>
        <v>0</v>
      </c>
      <c r="AT128" s="12" t="e">
        <f t="shared" si="31"/>
        <v>#N/A</v>
      </c>
      <c r="AU128" t="e">
        <f t="shared" si="31"/>
        <v>#N/A</v>
      </c>
      <c r="AV128" t="e">
        <f t="shared" si="31"/>
        <v>#N/A</v>
      </c>
      <c r="AW128" t="e">
        <f t="shared" si="31"/>
        <v>#N/A</v>
      </c>
      <c r="AX128" t="e">
        <f t="shared" si="31"/>
        <v>#N/A</v>
      </c>
      <c r="AY128" t="e">
        <f t="shared" si="31"/>
        <v>#N/A</v>
      </c>
      <c r="AZ128" s="13" t="e">
        <f t="shared" si="31"/>
        <v>#N/A</v>
      </c>
      <c r="BB128">
        <v>515</v>
      </c>
    </row>
    <row r="129" spans="2:54" x14ac:dyDescent="0.45">
      <c r="B129" s="11">
        <v>8</v>
      </c>
      <c r="C129" s="13">
        <v>112</v>
      </c>
      <c r="D129" s="15">
        <v>7</v>
      </c>
      <c r="E129" s="15">
        <v>0</v>
      </c>
      <c r="F129">
        <f t="shared" si="21"/>
        <v>0</v>
      </c>
      <c r="G129" s="15">
        <v>0</v>
      </c>
      <c r="H129" s="13">
        <f t="shared" si="28"/>
        <v>0</v>
      </c>
      <c r="I129">
        <f t="shared" si="25"/>
        <v>105</v>
      </c>
      <c r="J129">
        <f t="shared" si="22"/>
        <v>105</v>
      </c>
      <c r="K129">
        <f t="shared" si="26"/>
        <v>0</v>
      </c>
      <c r="L129" t="str">
        <f t="shared" si="27"/>
        <v/>
      </c>
      <c r="M129" s="13">
        <f t="shared" si="30"/>
        <v>-91</v>
      </c>
      <c r="N129">
        <f t="shared" si="23"/>
        <v>74</v>
      </c>
      <c r="AT129" s="12" t="e">
        <f t="shared" si="31"/>
        <v>#N/A</v>
      </c>
      <c r="AU129" t="e">
        <f t="shared" si="31"/>
        <v>#N/A</v>
      </c>
      <c r="AV129" t="e">
        <f t="shared" si="31"/>
        <v>#N/A</v>
      </c>
      <c r="AW129" t="e">
        <f t="shared" si="31"/>
        <v>#N/A</v>
      </c>
      <c r="AX129" t="e">
        <f t="shared" si="31"/>
        <v>#N/A</v>
      </c>
      <c r="AY129" t="e">
        <f t="shared" si="31"/>
        <v>#N/A</v>
      </c>
      <c r="AZ129" s="13" t="e">
        <f t="shared" si="31"/>
        <v>#N/A</v>
      </c>
      <c r="BB129">
        <v>515</v>
      </c>
    </row>
    <row r="130" spans="2:54" x14ac:dyDescent="0.45">
      <c r="B130" s="7">
        <v>9</v>
      </c>
      <c r="C130" s="13">
        <v>113</v>
      </c>
      <c r="D130" s="8">
        <v>1</v>
      </c>
      <c r="E130" s="8">
        <v>1</v>
      </c>
      <c r="F130">
        <f t="shared" si="21"/>
        <v>1</v>
      </c>
      <c r="G130" s="8">
        <v>179</v>
      </c>
      <c r="H130" s="13">
        <f t="shared" si="28"/>
        <v>105</v>
      </c>
      <c r="I130">
        <f t="shared" si="25"/>
        <v>105</v>
      </c>
      <c r="J130">
        <f t="shared" si="22"/>
        <v>179</v>
      </c>
      <c r="K130">
        <f t="shared" si="26"/>
        <v>1</v>
      </c>
      <c r="L130" t="str">
        <f t="shared" si="27"/>
        <v/>
      </c>
      <c r="M130" s="13" t="str">
        <f t="shared" si="30"/>
        <v/>
      </c>
      <c r="N130">
        <f t="shared" si="23"/>
        <v>15</v>
      </c>
      <c r="AT130" s="12" t="e">
        <f t="shared" ref="AT130:AZ145" si="32">IF($B130=AT$17,$J130,NA())</f>
        <v>#N/A</v>
      </c>
      <c r="AU130" t="e">
        <f t="shared" si="32"/>
        <v>#N/A</v>
      </c>
      <c r="AV130" t="e">
        <f t="shared" si="32"/>
        <v>#N/A</v>
      </c>
      <c r="AW130" t="e">
        <f t="shared" si="32"/>
        <v>#N/A</v>
      </c>
      <c r="AX130" t="e">
        <f t="shared" si="32"/>
        <v>#N/A</v>
      </c>
      <c r="AY130" t="e">
        <f t="shared" si="32"/>
        <v>#N/A</v>
      </c>
      <c r="AZ130" s="13" t="e">
        <f t="shared" si="32"/>
        <v>#N/A</v>
      </c>
      <c r="BB130">
        <v>544</v>
      </c>
    </row>
    <row r="131" spans="2:54" x14ac:dyDescent="0.45">
      <c r="B131" s="7">
        <v>9</v>
      </c>
      <c r="C131" s="13">
        <v>114</v>
      </c>
      <c r="D131">
        <v>2</v>
      </c>
      <c r="E131">
        <v>1</v>
      </c>
      <c r="F131">
        <f t="shared" si="21"/>
        <v>1</v>
      </c>
      <c r="G131">
        <v>165</v>
      </c>
      <c r="H131" s="13">
        <f t="shared" si="28"/>
        <v>150</v>
      </c>
      <c r="I131">
        <f t="shared" si="25"/>
        <v>179</v>
      </c>
      <c r="J131">
        <f t="shared" si="22"/>
        <v>194</v>
      </c>
      <c r="K131">
        <f t="shared" si="26"/>
        <v>0</v>
      </c>
      <c r="L131">
        <f t="shared" si="27"/>
        <v>150</v>
      </c>
      <c r="M131" s="13" t="str">
        <f t="shared" si="30"/>
        <v/>
      </c>
      <c r="N131">
        <f t="shared" si="23"/>
        <v>21</v>
      </c>
      <c r="AT131" s="12" t="e">
        <f t="shared" si="32"/>
        <v>#N/A</v>
      </c>
      <c r="AU131" t="e">
        <f t="shared" si="32"/>
        <v>#N/A</v>
      </c>
      <c r="AV131" t="e">
        <f t="shared" si="32"/>
        <v>#N/A</v>
      </c>
      <c r="AW131" t="e">
        <f t="shared" si="32"/>
        <v>#N/A</v>
      </c>
      <c r="AX131" t="e">
        <f t="shared" si="32"/>
        <v>#N/A</v>
      </c>
      <c r="AY131" t="e">
        <f t="shared" si="32"/>
        <v>#N/A</v>
      </c>
      <c r="AZ131" s="13" t="e">
        <f t="shared" si="32"/>
        <v>#N/A</v>
      </c>
      <c r="BB131">
        <v>559</v>
      </c>
    </row>
    <row r="132" spans="2:54" x14ac:dyDescent="0.45">
      <c r="B132" s="7">
        <v>9</v>
      </c>
      <c r="C132" s="13">
        <v>115</v>
      </c>
      <c r="D132">
        <v>3</v>
      </c>
      <c r="E132">
        <v>1</v>
      </c>
      <c r="F132">
        <f t="shared" si="21"/>
        <v>1</v>
      </c>
      <c r="G132">
        <v>171</v>
      </c>
      <c r="H132" s="13">
        <f t="shared" si="28"/>
        <v>150</v>
      </c>
      <c r="I132">
        <f t="shared" si="25"/>
        <v>194</v>
      </c>
      <c r="J132">
        <f t="shared" si="22"/>
        <v>215</v>
      </c>
      <c r="K132">
        <f t="shared" si="26"/>
        <v>0</v>
      </c>
      <c r="L132">
        <f t="shared" si="27"/>
        <v>150</v>
      </c>
      <c r="M132" s="13" t="str">
        <f t="shared" si="30"/>
        <v/>
      </c>
      <c r="N132">
        <f t="shared" si="23"/>
        <v>1</v>
      </c>
      <c r="AT132" s="12" t="e">
        <f t="shared" si="32"/>
        <v>#N/A</v>
      </c>
      <c r="AU132" t="e">
        <f t="shared" si="32"/>
        <v>#N/A</v>
      </c>
      <c r="AV132" t="e">
        <f t="shared" si="32"/>
        <v>#N/A</v>
      </c>
      <c r="AW132" t="e">
        <f t="shared" si="32"/>
        <v>#N/A</v>
      </c>
      <c r="AX132" t="e">
        <f t="shared" si="32"/>
        <v>#N/A</v>
      </c>
      <c r="AY132" t="e">
        <f t="shared" si="32"/>
        <v>#N/A</v>
      </c>
      <c r="AZ132" s="13" t="e">
        <f t="shared" si="32"/>
        <v>#N/A</v>
      </c>
      <c r="BB132">
        <v>580</v>
      </c>
    </row>
    <row r="133" spans="2:54" x14ac:dyDescent="0.45">
      <c r="B133" s="7">
        <v>9</v>
      </c>
      <c r="C133" s="13">
        <v>116</v>
      </c>
      <c r="D133">
        <v>4</v>
      </c>
      <c r="E133">
        <v>1</v>
      </c>
      <c r="F133">
        <f t="shared" si="21"/>
        <v>1</v>
      </c>
      <c r="G133">
        <v>151</v>
      </c>
      <c r="H133" s="13">
        <f t="shared" si="28"/>
        <v>150</v>
      </c>
      <c r="I133">
        <f t="shared" si="25"/>
        <v>215</v>
      </c>
      <c r="J133">
        <f t="shared" si="22"/>
        <v>216</v>
      </c>
      <c r="K133">
        <f t="shared" si="26"/>
        <v>0</v>
      </c>
      <c r="L133">
        <f t="shared" si="27"/>
        <v>150</v>
      </c>
      <c r="M133" s="13" t="str">
        <f t="shared" si="30"/>
        <v/>
      </c>
      <c r="N133">
        <f t="shared" si="23"/>
        <v>21</v>
      </c>
      <c r="AT133" s="12" t="e">
        <f t="shared" si="32"/>
        <v>#N/A</v>
      </c>
      <c r="AU133" t="e">
        <f t="shared" si="32"/>
        <v>#N/A</v>
      </c>
      <c r="AV133" t="e">
        <f t="shared" si="32"/>
        <v>#N/A</v>
      </c>
      <c r="AW133" t="e">
        <f t="shared" si="32"/>
        <v>#N/A</v>
      </c>
      <c r="AX133" t="e">
        <f t="shared" si="32"/>
        <v>#N/A</v>
      </c>
      <c r="AY133" t="e">
        <f t="shared" si="32"/>
        <v>#N/A</v>
      </c>
      <c r="AZ133" s="13" t="e">
        <f t="shared" si="32"/>
        <v>#N/A</v>
      </c>
      <c r="BB133">
        <v>581</v>
      </c>
    </row>
    <row r="134" spans="2:54" x14ac:dyDescent="0.45">
      <c r="B134" s="7">
        <v>9</v>
      </c>
      <c r="C134" s="13">
        <v>117</v>
      </c>
      <c r="D134">
        <v>5</v>
      </c>
      <c r="E134">
        <v>1</v>
      </c>
      <c r="F134">
        <f t="shared" si="21"/>
        <v>1</v>
      </c>
      <c r="G134">
        <v>171</v>
      </c>
      <c r="H134" s="13">
        <f t="shared" si="28"/>
        <v>150</v>
      </c>
      <c r="I134">
        <f t="shared" si="25"/>
        <v>216</v>
      </c>
      <c r="J134">
        <f t="shared" si="22"/>
        <v>237</v>
      </c>
      <c r="K134">
        <f t="shared" si="26"/>
        <v>0</v>
      </c>
      <c r="L134">
        <f t="shared" si="27"/>
        <v>150</v>
      </c>
      <c r="M134" s="13" t="str">
        <f t="shared" si="30"/>
        <v/>
      </c>
      <c r="N134">
        <f t="shared" si="23"/>
        <v>0</v>
      </c>
      <c r="AT134" s="12" t="e">
        <f t="shared" si="32"/>
        <v>#N/A</v>
      </c>
      <c r="AU134" t="e">
        <f t="shared" si="32"/>
        <v>#N/A</v>
      </c>
      <c r="AV134" t="e">
        <f t="shared" si="32"/>
        <v>#N/A</v>
      </c>
      <c r="AW134" t="e">
        <f t="shared" si="32"/>
        <v>#N/A</v>
      </c>
      <c r="AX134" t="e">
        <f t="shared" si="32"/>
        <v>#N/A</v>
      </c>
      <c r="AY134" t="e">
        <f t="shared" si="32"/>
        <v>#N/A</v>
      </c>
      <c r="AZ134" s="13" t="e">
        <f t="shared" si="32"/>
        <v>#N/A</v>
      </c>
      <c r="BB134">
        <v>602</v>
      </c>
    </row>
    <row r="135" spans="2:54" x14ac:dyDescent="0.45">
      <c r="B135" s="7">
        <v>9</v>
      </c>
      <c r="C135" s="13">
        <v>118</v>
      </c>
      <c r="D135">
        <v>6</v>
      </c>
      <c r="E135">
        <v>0</v>
      </c>
      <c r="F135">
        <f t="shared" si="21"/>
        <v>0</v>
      </c>
      <c r="G135">
        <v>0</v>
      </c>
      <c r="H135" s="13">
        <f t="shared" si="28"/>
        <v>0</v>
      </c>
      <c r="I135">
        <f t="shared" si="25"/>
        <v>237</v>
      </c>
      <c r="J135">
        <f t="shared" si="22"/>
        <v>237</v>
      </c>
      <c r="K135">
        <f t="shared" si="26"/>
        <v>0</v>
      </c>
      <c r="L135" t="str">
        <f t="shared" si="27"/>
        <v/>
      </c>
      <c r="M135" s="13" t="str">
        <f t="shared" si="30"/>
        <v/>
      </c>
      <c r="N135">
        <f t="shared" si="23"/>
        <v>0</v>
      </c>
      <c r="AT135" s="12" t="e">
        <f t="shared" si="32"/>
        <v>#N/A</v>
      </c>
      <c r="AU135" t="e">
        <f t="shared" si="32"/>
        <v>#N/A</v>
      </c>
      <c r="AV135" t="e">
        <f t="shared" si="32"/>
        <v>#N/A</v>
      </c>
      <c r="AW135" t="e">
        <f t="shared" si="32"/>
        <v>#N/A</v>
      </c>
      <c r="AX135" t="e">
        <f t="shared" si="32"/>
        <v>#N/A</v>
      </c>
      <c r="AY135" t="e">
        <f t="shared" si="32"/>
        <v>#N/A</v>
      </c>
      <c r="AZ135" s="13" t="e">
        <f t="shared" si="32"/>
        <v>#N/A</v>
      </c>
      <c r="BB135">
        <v>602</v>
      </c>
    </row>
    <row r="136" spans="2:54" x14ac:dyDescent="0.45">
      <c r="B136" s="7">
        <v>9</v>
      </c>
      <c r="C136" s="13">
        <v>119</v>
      </c>
      <c r="D136" s="15">
        <v>7</v>
      </c>
      <c r="E136" s="15">
        <v>0</v>
      </c>
      <c r="F136">
        <f t="shared" si="21"/>
        <v>0</v>
      </c>
      <c r="G136" s="15">
        <v>0</v>
      </c>
      <c r="H136" s="13">
        <f t="shared" si="28"/>
        <v>0</v>
      </c>
      <c r="I136">
        <f t="shared" si="25"/>
        <v>237</v>
      </c>
      <c r="J136">
        <f t="shared" si="22"/>
        <v>237</v>
      </c>
      <c r="K136">
        <f t="shared" si="26"/>
        <v>0</v>
      </c>
      <c r="L136" t="str">
        <f t="shared" si="27"/>
        <v/>
      </c>
      <c r="M136" s="13" t="str">
        <f t="shared" si="30"/>
        <v/>
      </c>
      <c r="N136">
        <f t="shared" si="23"/>
        <v>27</v>
      </c>
      <c r="AT136" s="12" t="e">
        <f t="shared" si="32"/>
        <v>#N/A</v>
      </c>
      <c r="AU136" t="e">
        <f t="shared" si="32"/>
        <v>#N/A</v>
      </c>
      <c r="AV136" t="e">
        <f t="shared" si="32"/>
        <v>#N/A</v>
      </c>
      <c r="AW136" t="e">
        <f t="shared" si="32"/>
        <v>#N/A</v>
      </c>
      <c r="AX136" t="e">
        <f t="shared" si="32"/>
        <v>#N/A</v>
      </c>
      <c r="AY136" t="e">
        <f t="shared" si="32"/>
        <v>#N/A</v>
      </c>
      <c r="AZ136" s="13" t="e">
        <f t="shared" si="32"/>
        <v>#N/A</v>
      </c>
      <c r="BB136">
        <v>602</v>
      </c>
    </row>
    <row r="137" spans="2:54" x14ac:dyDescent="0.45">
      <c r="B137" s="7">
        <v>9</v>
      </c>
      <c r="C137" s="13">
        <v>120</v>
      </c>
      <c r="D137" s="8">
        <v>1</v>
      </c>
      <c r="E137" s="8">
        <v>1</v>
      </c>
      <c r="F137">
        <f t="shared" si="21"/>
        <v>1</v>
      </c>
      <c r="G137" s="8">
        <v>177</v>
      </c>
      <c r="H137" s="13">
        <f t="shared" si="28"/>
        <v>150</v>
      </c>
      <c r="I137">
        <f t="shared" si="25"/>
        <v>237</v>
      </c>
      <c r="J137">
        <f t="shared" si="22"/>
        <v>264</v>
      </c>
      <c r="K137">
        <f t="shared" si="26"/>
        <v>0</v>
      </c>
      <c r="L137">
        <f t="shared" si="27"/>
        <v>150</v>
      </c>
      <c r="M137" s="13" t="str">
        <f t="shared" si="30"/>
        <v/>
      </c>
      <c r="N137">
        <f t="shared" si="23"/>
        <v>2</v>
      </c>
      <c r="AT137" s="12" t="e">
        <f t="shared" si="32"/>
        <v>#N/A</v>
      </c>
      <c r="AU137" t="e">
        <f t="shared" si="32"/>
        <v>#N/A</v>
      </c>
      <c r="AV137" t="e">
        <f t="shared" si="32"/>
        <v>#N/A</v>
      </c>
      <c r="AW137" t="e">
        <f t="shared" si="32"/>
        <v>#N/A</v>
      </c>
      <c r="AX137" t="e">
        <f t="shared" si="32"/>
        <v>#N/A</v>
      </c>
      <c r="AY137" t="e">
        <f t="shared" si="32"/>
        <v>#N/A</v>
      </c>
      <c r="AZ137" s="13" t="e">
        <f t="shared" si="32"/>
        <v>#N/A</v>
      </c>
      <c r="BB137">
        <v>629</v>
      </c>
    </row>
    <row r="138" spans="2:54" x14ac:dyDescent="0.45">
      <c r="B138" s="7">
        <v>9</v>
      </c>
      <c r="C138" s="13">
        <v>121</v>
      </c>
      <c r="D138">
        <v>2</v>
      </c>
      <c r="E138">
        <v>1</v>
      </c>
      <c r="F138">
        <f t="shared" si="21"/>
        <v>1</v>
      </c>
      <c r="G138">
        <v>152</v>
      </c>
      <c r="H138" s="13">
        <f t="shared" si="28"/>
        <v>150</v>
      </c>
      <c r="I138">
        <f t="shared" si="25"/>
        <v>264</v>
      </c>
      <c r="J138">
        <f t="shared" si="22"/>
        <v>266</v>
      </c>
      <c r="K138">
        <f t="shared" si="26"/>
        <v>0</v>
      </c>
      <c r="L138">
        <f t="shared" si="27"/>
        <v>150</v>
      </c>
      <c r="M138" s="13" t="str">
        <f t="shared" si="30"/>
        <v/>
      </c>
      <c r="N138">
        <f t="shared" si="23"/>
        <v>19</v>
      </c>
      <c r="AT138" s="12" t="e">
        <f t="shared" si="32"/>
        <v>#N/A</v>
      </c>
      <c r="AU138" t="e">
        <f t="shared" si="32"/>
        <v>#N/A</v>
      </c>
      <c r="AV138" t="e">
        <f t="shared" si="32"/>
        <v>#N/A</v>
      </c>
      <c r="AW138" t="e">
        <f t="shared" si="32"/>
        <v>#N/A</v>
      </c>
      <c r="AX138" t="e">
        <f t="shared" si="32"/>
        <v>#N/A</v>
      </c>
      <c r="AY138" t="e">
        <f t="shared" si="32"/>
        <v>#N/A</v>
      </c>
      <c r="AZ138" s="13" t="e">
        <f t="shared" si="32"/>
        <v>#N/A</v>
      </c>
      <c r="BB138">
        <v>631</v>
      </c>
    </row>
    <row r="139" spans="2:54" x14ac:dyDescent="0.45">
      <c r="B139" s="7">
        <v>9</v>
      </c>
      <c r="C139" s="13">
        <v>122</v>
      </c>
      <c r="D139">
        <v>3</v>
      </c>
      <c r="E139">
        <v>1</v>
      </c>
      <c r="F139">
        <f t="shared" si="21"/>
        <v>1</v>
      </c>
      <c r="G139">
        <v>169</v>
      </c>
      <c r="H139" s="13">
        <f t="shared" si="28"/>
        <v>150</v>
      </c>
      <c r="I139">
        <f t="shared" si="25"/>
        <v>266</v>
      </c>
      <c r="J139">
        <f t="shared" si="22"/>
        <v>285</v>
      </c>
      <c r="K139">
        <f t="shared" si="26"/>
        <v>0</v>
      </c>
      <c r="L139">
        <f t="shared" si="27"/>
        <v>150</v>
      </c>
      <c r="M139" s="13" t="str">
        <f t="shared" si="30"/>
        <v/>
      </c>
      <c r="N139">
        <f t="shared" si="23"/>
        <v>9</v>
      </c>
      <c r="AT139" s="12" t="e">
        <f t="shared" si="32"/>
        <v>#N/A</v>
      </c>
      <c r="AU139" t="e">
        <f t="shared" si="32"/>
        <v>#N/A</v>
      </c>
      <c r="AV139" t="e">
        <f t="shared" si="32"/>
        <v>#N/A</v>
      </c>
      <c r="AW139" t="e">
        <f t="shared" si="32"/>
        <v>#N/A</v>
      </c>
      <c r="AX139" t="e">
        <f t="shared" si="32"/>
        <v>#N/A</v>
      </c>
      <c r="AY139" t="e">
        <f t="shared" si="32"/>
        <v>#N/A</v>
      </c>
      <c r="AZ139" s="13" t="e">
        <f t="shared" si="32"/>
        <v>#N/A</v>
      </c>
      <c r="BB139">
        <v>650</v>
      </c>
    </row>
    <row r="140" spans="2:54" x14ac:dyDescent="0.45">
      <c r="B140" s="7">
        <v>9</v>
      </c>
      <c r="C140" s="13">
        <v>123</v>
      </c>
      <c r="D140">
        <v>4</v>
      </c>
      <c r="E140">
        <v>1</v>
      </c>
      <c r="F140">
        <f t="shared" si="21"/>
        <v>1</v>
      </c>
      <c r="G140">
        <v>159</v>
      </c>
      <c r="H140" s="13">
        <f t="shared" si="28"/>
        <v>150</v>
      </c>
      <c r="I140">
        <f t="shared" si="25"/>
        <v>285</v>
      </c>
      <c r="J140">
        <f t="shared" si="22"/>
        <v>294</v>
      </c>
      <c r="K140">
        <f t="shared" si="26"/>
        <v>0</v>
      </c>
      <c r="L140">
        <f t="shared" si="27"/>
        <v>150</v>
      </c>
      <c r="M140" s="13" t="str">
        <f t="shared" si="30"/>
        <v/>
      </c>
      <c r="N140">
        <f t="shared" si="23"/>
        <v>5</v>
      </c>
      <c r="AT140" s="12" t="e">
        <f t="shared" si="32"/>
        <v>#N/A</v>
      </c>
      <c r="AU140" t="e">
        <f t="shared" si="32"/>
        <v>#N/A</v>
      </c>
      <c r="AV140" t="e">
        <f t="shared" si="32"/>
        <v>#N/A</v>
      </c>
      <c r="AW140" t="e">
        <f t="shared" si="32"/>
        <v>#N/A</v>
      </c>
      <c r="AX140" t="e">
        <f t="shared" si="32"/>
        <v>#N/A</v>
      </c>
      <c r="AY140" t="e">
        <f t="shared" si="32"/>
        <v>#N/A</v>
      </c>
      <c r="AZ140" s="13" t="e">
        <f t="shared" si="32"/>
        <v>#N/A</v>
      </c>
      <c r="BB140">
        <v>659</v>
      </c>
    </row>
    <row r="141" spans="2:54" x14ac:dyDescent="0.45">
      <c r="B141" s="7">
        <v>9</v>
      </c>
      <c r="C141" s="13">
        <v>124</v>
      </c>
      <c r="D141">
        <v>5</v>
      </c>
      <c r="E141">
        <v>1</v>
      </c>
      <c r="F141">
        <f t="shared" si="21"/>
        <v>1</v>
      </c>
      <c r="G141">
        <v>155</v>
      </c>
      <c r="H141" s="13">
        <f t="shared" si="28"/>
        <v>150</v>
      </c>
      <c r="I141">
        <f t="shared" si="25"/>
        <v>294</v>
      </c>
      <c r="J141">
        <f t="shared" si="22"/>
        <v>299</v>
      </c>
      <c r="K141">
        <f t="shared" si="26"/>
        <v>0</v>
      </c>
      <c r="L141">
        <f t="shared" si="27"/>
        <v>150</v>
      </c>
      <c r="M141" s="13" t="str">
        <f t="shared" si="30"/>
        <v/>
      </c>
      <c r="N141">
        <f t="shared" si="23"/>
        <v>0</v>
      </c>
      <c r="AT141" s="12" t="e">
        <f t="shared" si="32"/>
        <v>#N/A</v>
      </c>
      <c r="AU141" t="e">
        <f t="shared" si="32"/>
        <v>#N/A</v>
      </c>
      <c r="AV141" t="e">
        <f t="shared" si="32"/>
        <v>#N/A</v>
      </c>
      <c r="AW141" t="e">
        <f t="shared" si="32"/>
        <v>#N/A</v>
      </c>
      <c r="AX141" t="e">
        <f t="shared" si="32"/>
        <v>#N/A</v>
      </c>
      <c r="AY141" t="e">
        <f t="shared" si="32"/>
        <v>#N/A</v>
      </c>
      <c r="AZ141" s="13" t="e">
        <f t="shared" si="32"/>
        <v>#N/A</v>
      </c>
      <c r="BB141">
        <v>664</v>
      </c>
    </row>
    <row r="142" spans="2:54" x14ac:dyDescent="0.45">
      <c r="B142" s="7">
        <v>9</v>
      </c>
      <c r="C142" s="13">
        <v>125</v>
      </c>
      <c r="D142">
        <v>6</v>
      </c>
      <c r="E142">
        <v>0</v>
      </c>
      <c r="F142">
        <f t="shared" si="21"/>
        <v>0</v>
      </c>
      <c r="G142">
        <v>0</v>
      </c>
      <c r="H142" s="13">
        <f t="shared" si="28"/>
        <v>0</v>
      </c>
      <c r="I142">
        <f t="shared" si="25"/>
        <v>299</v>
      </c>
      <c r="J142">
        <f t="shared" si="22"/>
        <v>299</v>
      </c>
      <c r="K142">
        <f t="shared" si="26"/>
        <v>0</v>
      </c>
      <c r="L142" t="str">
        <f t="shared" si="27"/>
        <v/>
      </c>
      <c r="M142" s="13" t="str">
        <f t="shared" si="30"/>
        <v/>
      </c>
      <c r="N142">
        <f t="shared" si="23"/>
        <v>0</v>
      </c>
      <c r="AT142" s="12" t="e">
        <f t="shared" si="32"/>
        <v>#N/A</v>
      </c>
      <c r="AU142" t="e">
        <f t="shared" si="32"/>
        <v>#N/A</v>
      </c>
      <c r="AV142" t="e">
        <f t="shared" si="32"/>
        <v>#N/A</v>
      </c>
      <c r="AW142" t="e">
        <f t="shared" si="32"/>
        <v>#N/A</v>
      </c>
      <c r="AX142" t="e">
        <f t="shared" si="32"/>
        <v>#N/A</v>
      </c>
      <c r="AY142" t="e">
        <f t="shared" si="32"/>
        <v>#N/A</v>
      </c>
      <c r="AZ142" s="13" t="e">
        <f t="shared" si="32"/>
        <v>#N/A</v>
      </c>
      <c r="BB142">
        <v>664</v>
      </c>
    </row>
    <row r="143" spans="2:54" x14ac:dyDescent="0.45">
      <c r="B143" s="7">
        <v>9</v>
      </c>
      <c r="C143" s="13">
        <v>126</v>
      </c>
      <c r="D143" s="15">
        <v>7</v>
      </c>
      <c r="E143" s="15">
        <v>0</v>
      </c>
      <c r="F143">
        <f t="shared" si="21"/>
        <v>0</v>
      </c>
      <c r="G143" s="15">
        <v>0</v>
      </c>
      <c r="H143" s="13">
        <f t="shared" si="28"/>
        <v>0</v>
      </c>
      <c r="I143">
        <f t="shared" si="25"/>
        <v>299</v>
      </c>
      <c r="J143">
        <f t="shared" si="22"/>
        <v>299</v>
      </c>
      <c r="K143">
        <f t="shared" si="26"/>
        <v>0</v>
      </c>
      <c r="L143" t="str">
        <f t="shared" si="27"/>
        <v/>
      </c>
      <c r="M143" s="13">
        <f t="shared" si="30"/>
        <v>97</v>
      </c>
      <c r="N143">
        <f t="shared" si="23"/>
        <v>28</v>
      </c>
      <c r="AT143" s="12" t="e">
        <f t="shared" si="32"/>
        <v>#N/A</v>
      </c>
      <c r="AU143" t="e">
        <f t="shared" si="32"/>
        <v>#N/A</v>
      </c>
      <c r="AV143" t="e">
        <f t="shared" si="32"/>
        <v>#N/A</v>
      </c>
      <c r="AW143" t="e">
        <f t="shared" si="32"/>
        <v>#N/A</v>
      </c>
      <c r="AX143" t="e">
        <f t="shared" si="32"/>
        <v>#N/A</v>
      </c>
      <c r="AY143" t="e">
        <f t="shared" si="32"/>
        <v>#N/A</v>
      </c>
      <c r="AZ143" s="13" t="e">
        <f t="shared" si="32"/>
        <v>#N/A</v>
      </c>
      <c r="BB143">
        <v>664</v>
      </c>
    </row>
    <row r="144" spans="2:54" x14ac:dyDescent="0.45">
      <c r="B144" s="11">
        <v>10</v>
      </c>
      <c r="C144" s="13">
        <v>127</v>
      </c>
      <c r="D144" s="8">
        <v>1</v>
      </c>
      <c r="E144" s="8">
        <v>1</v>
      </c>
      <c r="F144">
        <f t="shared" si="21"/>
        <v>1</v>
      </c>
      <c r="G144" s="8">
        <v>178</v>
      </c>
      <c r="H144" s="13">
        <f t="shared" si="28"/>
        <v>150</v>
      </c>
      <c r="I144">
        <f t="shared" si="25"/>
        <v>299</v>
      </c>
      <c r="J144">
        <f t="shared" si="22"/>
        <v>327</v>
      </c>
      <c r="K144">
        <f t="shared" si="26"/>
        <v>0</v>
      </c>
      <c r="L144">
        <f t="shared" si="27"/>
        <v>150</v>
      </c>
      <c r="M144" s="13" t="str">
        <f t="shared" si="30"/>
        <v/>
      </c>
      <c r="N144">
        <f t="shared" si="23"/>
        <v>31</v>
      </c>
      <c r="AT144" s="12" t="e">
        <f t="shared" si="32"/>
        <v>#N/A</v>
      </c>
      <c r="AU144" t="e">
        <f t="shared" si="32"/>
        <v>#N/A</v>
      </c>
      <c r="AV144" t="e">
        <f t="shared" si="32"/>
        <v>#N/A</v>
      </c>
      <c r="AW144" t="e">
        <f t="shared" si="32"/>
        <v>#N/A</v>
      </c>
      <c r="AX144" t="e">
        <f t="shared" si="32"/>
        <v>#N/A</v>
      </c>
      <c r="AY144" t="e">
        <f t="shared" si="32"/>
        <v>#N/A</v>
      </c>
      <c r="AZ144" s="13" t="e">
        <f t="shared" si="32"/>
        <v>#N/A</v>
      </c>
      <c r="BB144">
        <v>692</v>
      </c>
    </row>
    <row r="145" spans="2:54" x14ac:dyDescent="0.45">
      <c r="B145" s="11">
        <v>10</v>
      </c>
      <c r="C145" s="13">
        <v>128</v>
      </c>
      <c r="D145">
        <v>2</v>
      </c>
      <c r="E145">
        <v>1</v>
      </c>
      <c r="F145">
        <f t="shared" si="21"/>
        <v>1</v>
      </c>
      <c r="G145">
        <v>181</v>
      </c>
      <c r="H145" s="13">
        <f t="shared" si="28"/>
        <v>150</v>
      </c>
      <c r="I145">
        <f t="shared" si="25"/>
        <v>327</v>
      </c>
      <c r="J145">
        <f t="shared" si="22"/>
        <v>358</v>
      </c>
      <c r="K145">
        <f t="shared" si="26"/>
        <v>0</v>
      </c>
      <c r="L145">
        <f t="shared" si="27"/>
        <v>150</v>
      </c>
      <c r="M145" s="13" t="str">
        <f t="shared" si="30"/>
        <v/>
      </c>
      <c r="N145">
        <f t="shared" si="23"/>
        <v>38</v>
      </c>
      <c r="AT145" s="12" t="e">
        <f t="shared" si="32"/>
        <v>#N/A</v>
      </c>
      <c r="AU145" t="e">
        <f t="shared" si="32"/>
        <v>#N/A</v>
      </c>
      <c r="AV145" t="e">
        <f t="shared" si="32"/>
        <v>#N/A</v>
      </c>
      <c r="AW145" t="e">
        <f t="shared" si="32"/>
        <v>#N/A</v>
      </c>
      <c r="AX145" t="e">
        <f t="shared" si="32"/>
        <v>#N/A</v>
      </c>
      <c r="AY145" t="e">
        <f t="shared" si="32"/>
        <v>#N/A</v>
      </c>
      <c r="AZ145" s="13" t="e">
        <f t="shared" si="32"/>
        <v>#N/A</v>
      </c>
      <c r="BB145">
        <v>723</v>
      </c>
    </row>
    <row r="146" spans="2:54" x14ac:dyDescent="0.45">
      <c r="B146" s="11">
        <v>10</v>
      </c>
      <c r="C146" s="13">
        <v>129</v>
      </c>
      <c r="D146">
        <v>3</v>
      </c>
      <c r="E146">
        <v>1</v>
      </c>
      <c r="F146">
        <f t="shared" si="21"/>
        <v>1</v>
      </c>
      <c r="G146">
        <v>188</v>
      </c>
      <c r="H146" s="13">
        <f t="shared" si="28"/>
        <v>150</v>
      </c>
      <c r="I146">
        <f t="shared" si="25"/>
        <v>358</v>
      </c>
      <c r="J146">
        <f t="shared" si="22"/>
        <v>396</v>
      </c>
      <c r="K146">
        <f t="shared" si="26"/>
        <v>0</v>
      </c>
      <c r="L146">
        <f t="shared" si="27"/>
        <v>150</v>
      </c>
      <c r="M146" s="13" t="str">
        <f t="shared" si="30"/>
        <v/>
      </c>
      <c r="N146">
        <f t="shared" si="23"/>
        <v>36</v>
      </c>
      <c r="AT146" s="12" t="e">
        <f t="shared" ref="AT146:AZ161" si="33">IF($B146=AT$17,$J146,NA())</f>
        <v>#N/A</v>
      </c>
      <c r="AU146" t="e">
        <f t="shared" si="33"/>
        <v>#N/A</v>
      </c>
      <c r="AV146" t="e">
        <f t="shared" si="33"/>
        <v>#N/A</v>
      </c>
      <c r="AW146" t="e">
        <f t="shared" si="33"/>
        <v>#N/A</v>
      </c>
      <c r="AX146" t="e">
        <f t="shared" si="33"/>
        <v>#N/A</v>
      </c>
      <c r="AY146" t="e">
        <f t="shared" si="33"/>
        <v>#N/A</v>
      </c>
      <c r="AZ146" s="13" t="e">
        <f t="shared" si="33"/>
        <v>#N/A</v>
      </c>
      <c r="BB146">
        <v>761</v>
      </c>
    </row>
    <row r="147" spans="2:54" x14ac:dyDescent="0.45">
      <c r="B147" s="11">
        <v>10</v>
      </c>
      <c r="C147" s="13">
        <v>130</v>
      </c>
      <c r="D147">
        <v>4</v>
      </c>
      <c r="E147">
        <v>1</v>
      </c>
      <c r="F147">
        <f t="shared" ref="F147:F210" si="34">IF(D147&lt;=INDEX($C$2:$C$15,B147),1,0)</f>
        <v>1</v>
      </c>
      <c r="G147">
        <v>186</v>
      </c>
      <c r="H147" s="13">
        <f t="shared" si="28"/>
        <v>150</v>
      </c>
      <c r="I147">
        <f t="shared" si="25"/>
        <v>396</v>
      </c>
      <c r="J147">
        <f t="shared" ref="J147:J210" si="35">I147+G147-H147</f>
        <v>432</v>
      </c>
      <c r="K147">
        <f t="shared" si="26"/>
        <v>0</v>
      </c>
      <c r="L147">
        <f t="shared" si="27"/>
        <v>150</v>
      </c>
      <c r="M147" s="13" t="str">
        <f t="shared" si="30"/>
        <v/>
      </c>
      <c r="N147">
        <f t="shared" ref="N147:N210" si="36">J148-J147</f>
        <v>40</v>
      </c>
      <c r="AT147" s="12" t="e">
        <f t="shared" si="33"/>
        <v>#N/A</v>
      </c>
      <c r="AU147" t="e">
        <f t="shared" si="33"/>
        <v>#N/A</v>
      </c>
      <c r="AV147" t="e">
        <f t="shared" si="33"/>
        <v>#N/A</v>
      </c>
      <c r="AW147" t="e">
        <f t="shared" si="33"/>
        <v>#N/A</v>
      </c>
      <c r="AX147" t="e">
        <f t="shared" si="33"/>
        <v>#N/A</v>
      </c>
      <c r="AY147" t="e">
        <f t="shared" si="33"/>
        <v>#N/A</v>
      </c>
      <c r="AZ147" s="13" t="e">
        <f t="shared" si="33"/>
        <v>#N/A</v>
      </c>
      <c r="BB147">
        <v>797</v>
      </c>
    </row>
    <row r="148" spans="2:54" x14ac:dyDescent="0.45">
      <c r="B148" s="11">
        <v>10</v>
      </c>
      <c r="C148" s="13">
        <v>131</v>
      </c>
      <c r="D148">
        <v>5</v>
      </c>
      <c r="E148">
        <v>1</v>
      </c>
      <c r="F148">
        <f t="shared" si="34"/>
        <v>1</v>
      </c>
      <c r="G148">
        <v>190</v>
      </c>
      <c r="H148" s="13">
        <f t="shared" si="28"/>
        <v>150</v>
      </c>
      <c r="I148">
        <f t="shared" ref="I148:I211" si="37">J147</f>
        <v>432</v>
      </c>
      <c r="J148">
        <f t="shared" si="35"/>
        <v>472</v>
      </c>
      <c r="K148">
        <f t="shared" ref="K148:K211" si="38">IF(AND(H148=I148,F148=1),1,0)</f>
        <v>0</v>
      </c>
      <c r="L148">
        <f t="shared" ref="L148:L211" si="39">IF(OR(F148=0,K148=1),"",H148)</f>
        <v>150</v>
      </c>
      <c r="M148" s="13" t="str">
        <f t="shared" si="30"/>
        <v/>
      </c>
      <c r="N148">
        <f t="shared" si="36"/>
        <v>-150</v>
      </c>
      <c r="AT148" s="12" t="e">
        <f t="shared" si="33"/>
        <v>#N/A</v>
      </c>
      <c r="AU148" t="e">
        <f t="shared" si="33"/>
        <v>#N/A</v>
      </c>
      <c r="AV148" t="e">
        <f t="shared" si="33"/>
        <v>#N/A</v>
      </c>
      <c r="AW148" t="e">
        <f t="shared" si="33"/>
        <v>#N/A</v>
      </c>
      <c r="AX148" t="e">
        <f t="shared" si="33"/>
        <v>#N/A</v>
      </c>
      <c r="AY148" t="e">
        <f t="shared" si="33"/>
        <v>#N/A</v>
      </c>
      <c r="AZ148" s="13" t="e">
        <f t="shared" si="33"/>
        <v>#N/A</v>
      </c>
      <c r="BB148">
        <v>837</v>
      </c>
    </row>
    <row r="149" spans="2:54" x14ac:dyDescent="0.45">
      <c r="B149" s="11">
        <v>10</v>
      </c>
      <c r="C149" s="13">
        <v>132</v>
      </c>
      <c r="D149">
        <v>6</v>
      </c>
      <c r="E149">
        <v>0</v>
      </c>
      <c r="F149">
        <f t="shared" si="34"/>
        <v>1</v>
      </c>
      <c r="G149">
        <v>0</v>
      </c>
      <c r="H149" s="13">
        <f t="shared" si="28"/>
        <v>150</v>
      </c>
      <c r="I149">
        <f t="shared" si="37"/>
        <v>472</v>
      </c>
      <c r="J149">
        <f t="shared" si="35"/>
        <v>322</v>
      </c>
      <c r="K149">
        <f t="shared" si="38"/>
        <v>0</v>
      </c>
      <c r="L149">
        <f t="shared" si="39"/>
        <v>150</v>
      </c>
      <c r="M149" s="13" t="str">
        <f t="shared" si="30"/>
        <v/>
      </c>
      <c r="N149">
        <f t="shared" si="36"/>
        <v>0</v>
      </c>
      <c r="AT149" s="12" t="e">
        <f t="shared" si="33"/>
        <v>#N/A</v>
      </c>
      <c r="AU149" t="e">
        <f t="shared" si="33"/>
        <v>#N/A</v>
      </c>
      <c r="AV149" t="e">
        <f t="shared" si="33"/>
        <v>#N/A</v>
      </c>
      <c r="AW149" t="e">
        <f t="shared" si="33"/>
        <v>#N/A</v>
      </c>
      <c r="AX149" t="e">
        <f t="shared" si="33"/>
        <v>#N/A</v>
      </c>
      <c r="AY149" t="e">
        <f t="shared" si="33"/>
        <v>#N/A</v>
      </c>
      <c r="AZ149" s="13" t="e">
        <f t="shared" si="33"/>
        <v>#N/A</v>
      </c>
      <c r="BB149">
        <v>837</v>
      </c>
    </row>
    <row r="150" spans="2:54" x14ac:dyDescent="0.45">
      <c r="B150" s="11">
        <v>10</v>
      </c>
      <c r="C150" s="13">
        <v>133</v>
      </c>
      <c r="D150" s="15">
        <v>7</v>
      </c>
      <c r="E150" s="15">
        <v>0</v>
      </c>
      <c r="F150">
        <f t="shared" si="34"/>
        <v>0</v>
      </c>
      <c r="G150" s="15">
        <v>0</v>
      </c>
      <c r="H150" s="13">
        <f t="shared" si="28"/>
        <v>0</v>
      </c>
      <c r="I150">
        <f t="shared" si="37"/>
        <v>322</v>
      </c>
      <c r="J150">
        <f t="shared" si="35"/>
        <v>322</v>
      </c>
      <c r="K150">
        <f t="shared" si="38"/>
        <v>0</v>
      </c>
      <c r="L150" t="str">
        <f t="shared" si="39"/>
        <v/>
      </c>
      <c r="M150" s="13" t="str">
        <f t="shared" si="30"/>
        <v/>
      </c>
      <c r="N150">
        <f t="shared" si="36"/>
        <v>35</v>
      </c>
      <c r="AT150" s="12" t="e">
        <f t="shared" si="33"/>
        <v>#N/A</v>
      </c>
      <c r="AU150" t="e">
        <f t="shared" si="33"/>
        <v>#N/A</v>
      </c>
      <c r="AV150" t="e">
        <f t="shared" si="33"/>
        <v>#N/A</v>
      </c>
      <c r="AW150" t="e">
        <f t="shared" si="33"/>
        <v>#N/A</v>
      </c>
      <c r="AX150" t="e">
        <f t="shared" si="33"/>
        <v>#N/A</v>
      </c>
      <c r="AY150" t="e">
        <f t="shared" si="33"/>
        <v>#N/A</v>
      </c>
      <c r="AZ150" s="13" t="e">
        <f t="shared" si="33"/>
        <v>#N/A</v>
      </c>
      <c r="BB150">
        <v>837</v>
      </c>
    </row>
    <row r="151" spans="2:54" x14ac:dyDescent="0.45">
      <c r="B151" s="11">
        <v>10</v>
      </c>
      <c r="C151" s="13">
        <v>134</v>
      </c>
      <c r="D151" s="8">
        <v>1</v>
      </c>
      <c r="E151" s="8">
        <v>1</v>
      </c>
      <c r="F151">
        <f t="shared" si="34"/>
        <v>1</v>
      </c>
      <c r="G151" s="8">
        <v>185</v>
      </c>
      <c r="H151" s="13">
        <f t="shared" si="28"/>
        <v>150</v>
      </c>
      <c r="I151">
        <f t="shared" si="37"/>
        <v>322</v>
      </c>
      <c r="J151">
        <f t="shared" si="35"/>
        <v>357</v>
      </c>
      <c r="K151">
        <f t="shared" si="38"/>
        <v>0</v>
      </c>
      <c r="L151">
        <f t="shared" si="39"/>
        <v>150</v>
      </c>
      <c r="M151" s="13" t="str">
        <f t="shared" si="30"/>
        <v/>
      </c>
      <c r="N151">
        <f t="shared" si="36"/>
        <v>40</v>
      </c>
      <c r="AT151" s="12" t="e">
        <f t="shared" si="33"/>
        <v>#N/A</v>
      </c>
      <c r="AU151" t="e">
        <f t="shared" si="33"/>
        <v>#N/A</v>
      </c>
      <c r="AV151" t="e">
        <f t="shared" si="33"/>
        <v>#N/A</v>
      </c>
      <c r="AW151" t="e">
        <f t="shared" si="33"/>
        <v>#N/A</v>
      </c>
      <c r="AX151" t="e">
        <f t="shared" si="33"/>
        <v>#N/A</v>
      </c>
      <c r="AY151" t="e">
        <f t="shared" si="33"/>
        <v>#N/A</v>
      </c>
      <c r="AZ151" s="13" t="e">
        <f t="shared" si="33"/>
        <v>#N/A</v>
      </c>
      <c r="BB151">
        <v>872</v>
      </c>
    </row>
    <row r="152" spans="2:54" x14ac:dyDescent="0.45">
      <c r="B152" s="11">
        <v>10</v>
      </c>
      <c r="C152" s="13">
        <v>135</v>
      </c>
      <c r="D152">
        <v>2</v>
      </c>
      <c r="E152">
        <v>1</v>
      </c>
      <c r="F152">
        <f t="shared" si="34"/>
        <v>1</v>
      </c>
      <c r="G152">
        <v>190</v>
      </c>
      <c r="H152" s="13">
        <f t="shared" si="28"/>
        <v>150</v>
      </c>
      <c r="I152">
        <f t="shared" si="37"/>
        <v>357</v>
      </c>
      <c r="J152">
        <f t="shared" si="35"/>
        <v>397</v>
      </c>
      <c r="K152">
        <f t="shared" si="38"/>
        <v>0</v>
      </c>
      <c r="L152">
        <f t="shared" si="39"/>
        <v>150</v>
      </c>
      <c r="M152" s="13" t="str">
        <f t="shared" si="30"/>
        <v/>
      </c>
      <c r="N152">
        <f t="shared" si="36"/>
        <v>25</v>
      </c>
      <c r="AT152" s="12" t="e">
        <f t="shared" si="33"/>
        <v>#N/A</v>
      </c>
      <c r="AU152" t="e">
        <f t="shared" si="33"/>
        <v>#N/A</v>
      </c>
      <c r="AV152" t="e">
        <f t="shared" si="33"/>
        <v>#N/A</v>
      </c>
      <c r="AW152" t="e">
        <f t="shared" si="33"/>
        <v>#N/A</v>
      </c>
      <c r="AX152" t="e">
        <f t="shared" si="33"/>
        <v>#N/A</v>
      </c>
      <c r="AY152" t="e">
        <f t="shared" si="33"/>
        <v>#N/A</v>
      </c>
      <c r="AZ152" s="13" t="e">
        <f t="shared" si="33"/>
        <v>#N/A</v>
      </c>
      <c r="BB152">
        <v>912</v>
      </c>
    </row>
    <row r="153" spans="2:54" x14ac:dyDescent="0.45">
      <c r="B153" s="11">
        <v>10</v>
      </c>
      <c r="C153" s="13">
        <v>136</v>
      </c>
      <c r="D153">
        <v>3</v>
      </c>
      <c r="E153">
        <v>1</v>
      </c>
      <c r="F153">
        <f t="shared" si="34"/>
        <v>1</v>
      </c>
      <c r="G153">
        <v>175</v>
      </c>
      <c r="H153" s="13">
        <f t="shared" ref="H153:H157" si="40">IF(F153=1,MIN(I153,$F$9),0)</f>
        <v>150</v>
      </c>
      <c r="I153">
        <f t="shared" si="37"/>
        <v>397</v>
      </c>
      <c r="J153">
        <f t="shared" si="35"/>
        <v>422</v>
      </c>
      <c r="K153">
        <f t="shared" si="38"/>
        <v>0</v>
      </c>
      <c r="L153">
        <f t="shared" si="39"/>
        <v>150</v>
      </c>
      <c r="M153" s="13" t="str">
        <f t="shared" si="30"/>
        <v/>
      </c>
      <c r="N153">
        <f t="shared" si="36"/>
        <v>35</v>
      </c>
      <c r="AT153" s="12" t="e">
        <f t="shared" si="33"/>
        <v>#N/A</v>
      </c>
      <c r="AU153" t="e">
        <f t="shared" si="33"/>
        <v>#N/A</v>
      </c>
      <c r="AV153" t="e">
        <f t="shared" si="33"/>
        <v>#N/A</v>
      </c>
      <c r="AW153" t="e">
        <f t="shared" si="33"/>
        <v>#N/A</v>
      </c>
      <c r="AX153" t="e">
        <f t="shared" si="33"/>
        <v>#N/A</v>
      </c>
      <c r="AY153" t="e">
        <f t="shared" si="33"/>
        <v>#N/A</v>
      </c>
      <c r="AZ153" s="13" t="e">
        <f t="shared" si="33"/>
        <v>#N/A</v>
      </c>
      <c r="BB153">
        <v>937</v>
      </c>
    </row>
    <row r="154" spans="2:54" x14ac:dyDescent="0.45">
      <c r="B154" s="11">
        <v>10</v>
      </c>
      <c r="C154" s="13">
        <v>137</v>
      </c>
      <c r="D154">
        <v>4</v>
      </c>
      <c r="E154">
        <v>1</v>
      </c>
      <c r="F154">
        <f t="shared" si="34"/>
        <v>1</v>
      </c>
      <c r="G154">
        <v>185</v>
      </c>
      <c r="H154" s="13">
        <f t="shared" si="40"/>
        <v>150</v>
      </c>
      <c r="I154">
        <f t="shared" si="37"/>
        <v>422</v>
      </c>
      <c r="J154">
        <f t="shared" si="35"/>
        <v>457</v>
      </c>
      <c r="K154">
        <f t="shared" si="38"/>
        <v>0</v>
      </c>
      <c r="L154">
        <f t="shared" si="39"/>
        <v>150</v>
      </c>
      <c r="M154" s="13" t="str">
        <f t="shared" si="30"/>
        <v/>
      </c>
      <c r="N154">
        <f t="shared" si="36"/>
        <v>25</v>
      </c>
      <c r="AT154" s="12" t="e">
        <f t="shared" si="33"/>
        <v>#N/A</v>
      </c>
      <c r="AU154" t="e">
        <f t="shared" si="33"/>
        <v>#N/A</v>
      </c>
      <c r="AV154" t="e">
        <f t="shared" si="33"/>
        <v>#N/A</v>
      </c>
      <c r="AW154" t="e">
        <f t="shared" si="33"/>
        <v>#N/A</v>
      </c>
      <c r="AX154" t="e">
        <f t="shared" si="33"/>
        <v>#N/A</v>
      </c>
      <c r="AY154" t="e">
        <f t="shared" si="33"/>
        <v>#N/A</v>
      </c>
      <c r="AZ154" s="13" t="e">
        <f t="shared" si="33"/>
        <v>#N/A</v>
      </c>
      <c r="BB154">
        <v>972</v>
      </c>
    </row>
    <row r="155" spans="2:54" x14ac:dyDescent="0.45">
      <c r="B155" s="11">
        <v>10</v>
      </c>
      <c r="C155" s="13">
        <v>138</v>
      </c>
      <c r="D155">
        <v>5</v>
      </c>
      <c r="E155">
        <v>1</v>
      </c>
      <c r="F155">
        <f t="shared" si="34"/>
        <v>1</v>
      </c>
      <c r="G155">
        <v>175</v>
      </c>
      <c r="H155" s="13">
        <f t="shared" si="40"/>
        <v>150</v>
      </c>
      <c r="I155">
        <f t="shared" si="37"/>
        <v>457</v>
      </c>
      <c r="J155">
        <f t="shared" si="35"/>
        <v>482</v>
      </c>
      <c r="K155">
        <f t="shared" si="38"/>
        <v>0</v>
      </c>
      <c r="L155">
        <f t="shared" si="39"/>
        <v>150</v>
      </c>
      <c r="M155" s="13" t="str">
        <f t="shared" si="30"/>
        <v/>
      </c>
      <c r="N155">
        <f t="shared" si="36"/>
        <v>-150</v>
      </c>
      <c r="AT155" s="12" t="e">
        <f t="shared" si="33"/>
        <v>#N/A</v>
      </c>
      <c r="AU155" t="e">
        <f t="shared" si="33"/>
        <v>#N/A</v>
      </c>
      <c r="AV155" t="e">
        <f t="shared" si="33"/>
        <v>#N/A</v>
      </c>
      <c r="AW155" t="e">
        <f t="shared" si="33"/>
        <v>#N/A</v>
      </c>
      <c r="AX155" t="e">
        <f t="shared" si="33"/>
        <v>#N/A</v>
      </c>
      <c r="AY155" t="e">
        <f t="shared" si="33"/>
        <v>#N/A</v>
      </c>
      <c r="AZ155" s="13" t="e">
        <f t="shared" si="33"/>
        <v>#N/A</v>
      </c>
      <c r="BB155">
        <v>997</v>
      </c>
    </row>
    <row r="156" spans="2:54" x14ac:dyDescent="0.45">
      <c r="B156" s="11">
        <v>10</v>
      </c>
      <c r="C156" s="13">
        <v>139</v>
      </c>
      <c r="D156">
        <v>6</v>
      </c>
      <c r="E156">
        <v>0</v>
      </c>
      <c r="F156">
        <f t="shared" si="34"/>
        <v>1</v>
      </c>
      <c r="G156">
        <v>0</v>
      </c>
      <c r="H156" s="13">
        <f t="shared" si="40"/>
        <v>150</v>
      </c>
      <c r="I156">
        <f t="shared" si="37"/>
        <v>482</v>
      </c>
      <c r="J156">
        <f t="shared" si="35"/>
        <v>332</v>
      </c>
      <c r="K156">
        <f t="shared" si="38"/>
        <v>0</v>
      </c>
      <c r="L156">
        <f t="shared" si="39"/>
        <v>150</v>
      </c>
      <c r="M156" s="13" t="str">
        <f t="shared" si="30"/>
        <v/>
      </c>
      <c r="N156">
        <f t="shared" si="36"/>
        <v>0</v>
      </c>
      <c r="AT156" s="12" t="e">
        <f t="shared" si="33"/>
        <v>#N/A</v>
      </c>
      <c r="AU156" t="e">
        <f t="shared" si="33"/>
        <v>#N/A</v>
      </c>
      <c r="AV156" t="e">
        <f t="shared" si="33"/>
        <v>#N/A</v>
      </c>
      <c r="AW156" t="e">
        <f t="shared" si="33"/>
        <v>#N/A</v>
      </c>
      <c r="AX156" t="e">
        <f t="shared" si="33"/>
        <v>#N/A</v>
      </c>
      <c r="AY156" t="e">
        <f t="shared" si="33"/>
        <v>#N/A</v>
      </c>
      <c r="AZ156" s="13" t="e">
        <f t="shared" si="33"/>
        <v>#N/A</v>
      </c>
      <c r="BB156">
        <v>997</v>
      </c>
    </row>
    <row r="157" spans="2:54" x14ac:dyDescent="0.45">
      <c r="B157" s="11">
        <v>10</v>
      </c>
      <c r="C157" s="13">
        <v>140</v>
      </c>
      <c r="D157" s="15">
        <v>7</v>
      </c>
      <c r="E157" s="15">
        <v>0</v>
      </c>
      <c r="F157">
        <f t="shared" si="34"/>
        <v>0</v>
      </c>
      <c r="G157" s="15">
        <v>0</v>
      </c>
      <c r="H157" s="13">
        <f t="shared" si="40"/>
        <v>0</v>
      </c>
      <c r="I157">
        <f t="shared" si="37"/>
        <v>332</v>
      </c>
      <c r="J157">
        <f t="shared" si="35"/>
        <v>332</v>
      </c>
      <c r="K157">
        <f t="shared" si="38"/>
        <v>0</v>
      </c>
      <c r="L157" t="str">
        <f t="shared" si="39"/>
        <v/>
      </c>
      <c r="M157" s="13">
        <f t="shared" si="30"/>
        <v>227</v>
      </c>
      <c r="N157">
        <f t="shared" si="36"/>
        <v>-9</v>
      </c>
      <c r="AT157" s="12" t="e">
        <f t="shared" si="33"/>
        <v>#N/A</v>
      </c>
      <c r="AU157" t="e">
        <f t="shared" si="33"/>
        <v>#N/A</v>
      </c>
      <c r="AV157" t="e">
        <f t="shared" si="33"/>
        <v>#N/A</v>
      </c>
      <c r="AW157" t="e">
        <f t="shared" si="33"/>
        <v>#N/A</v>
      </c>
      <c r="AX157" t="e">
        <f t="shared" si="33"/>
        <v>#N/A</v>
      </c>
      <c r="AY157" t="e">
        <f t="shared" si="33"/>
        <v>#N/A</v>
      </c>
      <c r="AZ157" s="13" t="e">
        <f t="shared" si="33"/>
        <v>#N/A</v>
      </c>
      <c r="BB157">
        <v>997</v>
      </c>
    </row>
    <row r="158" spans="2:54" x14ac:dyDescent="0.45">
      <c r="B158" s="7">
        <v>11</v>
      </c>
      <c r="C158" s="13">
        <v>141</v>
      </c>
      <c r="D158" s="8">
        <v>1</v>
      </c>
      <c r="E158" s="8">
        <v>1</v>
      </c>
      <c r="F158">
        <f t="shared" si="34"/>
        <v>1</v>
      </c>
      <c r="G158" s="8">
        <v>146</v>
      </c>
      <c r="H158" s="13">
        <f>IF(F158=1,MIN(I158,$F$10),0)</f>
        <v>155</v>
      </c>
      <c r="I158">
        <f t="shared" si="37"/>
        <v>332</v>
      </c>
      <c r="J158">
        <f t="shared" si="35"/>
        <v>323</v>
      </c>
      <c r="K158">
        <f t="shared" si="38"/>
        <v>0</v>
      </c>
      <c r="L158">
        <f t="shared" si="39"/>
        <v>155</v>
      </c>
      <c r="M158" s="13" t="str">
        <f t="shared" si="30"/>
        <v/>
      </c>
      <c r="N158">
        <f t="shared" si="36"/>
        <v>3</v>
      </c>
      <c r="AT158" s="12" t="e">
        <f t="shared" si="33"/>
        <v>#N/A</v>
      </c>
      <c r="AU158" t="e">
        <f t="shared" si="33"/>
        <v>#N/A</v>
      </c>
      <c r="AV158" t="e">
        <f t="shared" si="33"/>
        <v>#N/A</v>
      </c>
      <c r="AW158" t="e">
        <f t="shared" si="33"/>
        <v>#N/A</v>
      </c>
      <c r="AX158" t="e">
        <f t="shared" si="33"/>
        <v>#N/A</v>
      </c>
      <c r="AY158" t="e">
        <f t="shared" si="33"/>
        <v>#N/A</v>
      </c>
      <c r="AZ158" s="13" t="e">
        <f t="shared" si="33"/>
        <v>#N/A</v>
      </c>
      <c r="BB158">
        <v>988</v>
      </c>
    </row>
    <row r="159" spans="2:54" x14ac:dyDescent="0.45">
      <c r="B159" s="7">
        <v>11</v>
      </c>
      <c r="C159" s="13">
        <v>142</v>
      </c>
      <c r="D159">
        <v>2</v>
      </c>
      <c r="E159">
        <v>1</v>
      </c>
      <c r="F159">
        <f t="shared" si="34"/>
        <v>1</v>
      </c>
      <c r="G159">
        <v>158</v>
      </c>
      <c r="H159" s="13">
        <f t="shared" ref="H159:H213" si="41">IF(F159=1,MIN(I159,$F$10),0)</f>
        <v>155</v>
      </c>
      <c r="I159">
        <f t="shared" si="37"/>
        <v>323</v>
      </c>
      <c r="J159">
        <f t="shared" si="35"/>
        <v>326</v>
      </c>
      <c r="K159">
        <f t="shared" si="38"/>
        <v>0</v>
      </c>
      <c r="L159">
        <f t="shared" si="39"/>
        <v>155</v>
      </c>
      <c r="M159" s="13" t="str">
        <f t="shared" si="30"/>
        <v/>
      </c>
      <c r="N159">
        <f t="shared" si="36"/>
        <v>-2</v>
      </c>
      <c r="AT159" s="12" t="e">
        <f t="shared" si="33"/>
        <v>#N/A</v>
      </c>
      <c r="AU159" t="e">
        <f t="shared" si="33"/>
        <v>#N/A</v>
      </c>
      <c r="AV159" t="e">
        <f t="shared" si="33"/>
        <v>#N/A</v>
      </c>
      <c r="AW159" t="e">
        <f t="shared" si="33"/>
        <v>#N/A</v>
      </c>
      <c r="AX159" t="e">
        <f t="shared" si="33"/>
        <v>#N/A</v>
      </c>
      <c r="AY159" t="e">
        <f t="shared" si="33"/>
        <v>#N/A</v>
      </c>
      <c r="AZ159" s="13" t="e">
        <f t="shared" si="33"/>
        <v>#N/A</v>
      </c>
      <c r="BB159">
        <v>991</v>
      </c>
    </row>
    <row r="160" spans="2:54" x14ac:dyDescent="0.45">
      <c r="B160" s="7">
        <v>11</v>
      </c>
      <c r="C160" s="13">
        <v>143</v>
      </c>
      <c r="D160">
        <v>3</v>
      </c>
      <c r="E160">
        <v>1</v>
      </c>
      <c r="F160">
        <f t="shared" si="34"/>
        <v>1</v>
      </c>
      <c r="G160">
        <v>153</v>
      </c>
      <c r="H160" s="13">
        <f t="shared" si="41"/>
        <v>155</v>
      </c>
      <c r="I160">
        <f t="shared" si="37"/>
        <v>326</v>
      </c>
      <c r="J160">
        <f t="shared" si="35"/>
        <v>324</v>
      </c>
      <c r="K160">
        <f t="shared" si="38"/>
        <v>0</v>
      </c>
      <c r="L160">
        <f t="shared" si="39"/>
        <v>155</v>
      </c>
      <c r="M160" s="13" t="str">
        <f t="shared" si="30"/>
        <v/>
      </c>
      <c r="N160">
        <f t="shared" si="36"/>
        <v>5</v>
      </c>
      <c r="AT160" s="12" t="e">
        <f t="shared" si="33"/>
        <v>#N/A</v>
      </c>
      <c r="AU160" t="e">
        <f t="shared" si="33"/>
        <v>#N/A</v>
      </c>
      <c r="AV160" t="e">
        <f t="shared" si="33"/>
        <v>#N/A</v>
      </c>
      <c r="AW160" t="e">
        <f t="shared" si="33"/>
        <v>#N/A</v>
      </c>
      <c r="AX160" t="e">
        <f t="shared" si="33"/>
        <v>#N/A</v>
      </c>
      <c r="AY160" t="e">
        <f t="shared" si="33"/>
        <v>#N/A</v>
      </c>
      <c r="AZ160" s="13" t="e">
        <f t="shared" si="33"/>
        <v>#N/A</v>
      </c>
      <c r="BB160">
        <v>989</v>
      </c>
    </row>
    <row r="161" spans="2:54" x14ac:dyDescent="0.45">
      <c r="B161" s="7">
        <v>11</v>
      </c>
      <c r="C161" s="13">
        <v>144</v>
      </c>
      <c r="D161">
        <v>4</v>
      </c>
      <c r="E161">
        <v>1</v>
      </c>
      <c r="F161">
        <f t="shared" si="34"/>
        <v>1</v>
      </c>
      <c r="G161">
        <v>160</v>
      </c>
      <c r="H161" s="13">
        <f t="shared" si="41"/>
        <v>155</v>
      </c>
      <c r="I161">
        <f t="shared" si="37"/>
        <v>324</v>
      </c>
      <c r="J161">
        <f t="shared" si="35"/>
        <v>329</v>
      </c>
      <c r="K161">
        <f t="shared" si="38"/>
        <v>0</v>
      </c>
      <c r="L161">
        <f t="shared" si="39"/>
        <v>155</v>
      </c>
      <c r="M161" s="13" t="str">
        <f t="shared" si="30"/>
        <v/>
      </c>
      <c r="N161">
        <f t="shared" si="36"/>
        <v>11</v>
      </c>
      <c r="AT161" s="12" t="e">
        <f t="shared" si="33"/>
        <v>#N/A</v>
      </c>
      <c r="AU161" t="e">
        <f t="shared" si="33"/>
        <v>#N/A</v>
      </c>
      <c r="AV161" t="e">
        <f t="shared" si="33"/>
        <v>#N/A</v>
      </c>
      <c r="AW161" t="e">
        <f t="shared" si="33"/>
        <v>#N/A</v>
      </c>
      <c r="AX161" t="e">
        <f t="shared" si="33"/>
        <v>#N/A</v>
      </c>
      <c r="AY161" t="e">
        <f t="shared" si="33"/>
        <v>#N/A</v>
      </c>
      <c r="AZ161" s="13" t="e">
        <f t="shared" si="33"/>
        <v>#N/A</v>
      </c>
      <c r="BB161">
        <v>994</v>
      </c>
    </row>
    <row r="162" spans="2:54" x14ac:dyDescent="0.45">
      <c r="B162" s="7">
        <v>11</v>
      </c>
      <c r="C162" s="13">
        <v>145</v>
      </c>
      <c r="D162">
        <v>5</v>
      </c>
      <c r="E162">
        <v>1</v>
      </c>
      <c r="F162">
        <f t="shared" si="34"/>
        <v>1</v>
      </c>
      <c r="G162">
        <v>166</v>
      </c>
      <c r="H162" s="13">
        <f t="shared" si="41"/>
        <v>155</v>
      </c>
      <c r="I162">
        <f t="shared" si="37"/>
        <v>329</v>
      </c>
      <c r="J162">
        <f t="shared" si="35"/>
        <v>340</v>
      </c>
      <c r="K162">
        <f t="shared" si="38"/>
        <v>0</v>
      </c>
      <c r="L162">
        <f t="shared" si="39"/>
        <v>155</v>
      </c>
      <c r="M162" s="13" t="str">
        <f t="shared" si="30"/>
        <v/>
      </c>
      <c r="N162">
        <f t="shared" si="36"/>
        <v>0</v>
      </c>
      <c r="AT162" s="12" t="e">
        <f t="shared" ref="AT162:AZ177" si="42">IF($B162=AT$17,$J162,NA())</f>
        <v>#N/A</v>
      </c>
      <c r="AU162" t="e">
        <f t="shared" si="42"/>
        <v>#N/A</v>
      </c>
      <c r="AV162" t="e">
        <f t="shared" si="42"/>
        <v>#N/A</v>
      </c>
      <c r="AW162" t="e">
        <f t="shared" si="42"/>
        <v>#N/A</v>
      </c>
      <c r="AX162" t="e">
        <f t="shared" si="42"/>
        <v>#N/A</v>
      </c>
      <c r="AY162" t="e">
        <f t="shared" si="42"/>
        <v>#N/A</v>
      </c>
      <c r="AZ162" s="13" t="e">
        <f t="shared" si="42"/>
        <v>#N/A</v>
      </c>
      <c r="BB162">
        <v>1005</v>
      </c>
    </row>
    <row r="163" spans="2:54" x14ac:dyDescent="0.45">
      <c r="B163" s="7">
        <v>11</v>
      </c>
      <c r="C163" s="13">
        <v>146</v>
      </c>
      <c r="D163">
        <v>6</v>
      </c>
      <c r="E163">
        <v>0</v>
      </c>
      <c r="F163">
        <f t="shared" si="34"/>
        <v>0</v>
      </c>
      <c r="G163">
        <v>0</v>
      </c>
      <c r="H163" s="13">
        <f t="shared" si="41"/>
        <v>0</v>
      </c>
      <c r="I163">
        <f t="shared" si="37"/>
        <v>340</v>
      </c>
      <c r="J163">
        <f t="shared" si="35"/>
        <v>340</v>
      </c>
      <c r="K163">
        <f t="shared" si="38"/>
        <v>0</v>
      </c>
      <c r="L163" t="str">
        <f t="shared" si="39"/>
        <v/>
      </c>
      <c r="M163" s="13" t="str">
        <f t="shared" si="30"/>
        <v/>
      </c>
      <c r="N163">
        <f t="shared" si="36"/>
        <v>0</v>
      </c>
      <c r="AT163" s="12" t="e">
        <f t="shared" si="42"/>
        <v>#N/A</v>
      </c>
      <c r="AU163" t="e">
        <f t="shared" si="42"/>
        <v>#N/A</v>
      </c>
      <c r="AV163" t="e">
        <f t="shared" si="42"/>
        <v>#N/A</v>
      </c>
      <c r="AW163" t="e">
        <f t="shared" si="42"/>
        <v>#N/A</v>
      </c>
      <c r="AX163" t="e">
        <f t="shared" si="42"/>
        <v>#N/A</v>
      </c>
      <c r="AY163" t="e">
        <f t="shared" si="42"/>
        <v>#N/A</v>
      </c>
      <c r="AZ163" s="13" t="e">
        <f t="shared" si="42"/>
        <v>#N/A</v>
      </c>
      <c r="BB163">
        <v>1005</v>
      </c>
    </row>
    <row r="164" spans="2:54" x14ac:dyDescent="0.45">
      <c r="B164" s="7">
        <v>11</v>
      </c>
      <c r="C164" s="13">
        <v>147</v>
      </c>
      <c r="D164" s="15">
        <v>7</v>
      </c>
      <c r="E164" s="15">
        <v>0</v>
      </c>
      <c r="F164">
        <f t="shared" si="34"/>
        <v>0</v>
      </c>
      <c r="G164" s="15">
        <v>0</v>
      </c>
      <c r="H164" s="13">
        <f t="shared" si="41"/>
        <v>0</v>
      </c>
      <c r="I164">
        <f t="shared" si="37"/>
        <v>340</v>
      </c>
      <c r="J164">
        <f t="shared" si="35"/>
        <v>340</v>
      </c>
      <c r="K164">
        <f t="shared" si="38"/>
        <v>0</v>
      </c>
      <c r="L164" t="str">
        <f t="shared" si="39"/>
        <v/>
      </c>
      <c r="M164" s="13" t="str">
        <f t="shared" si="30"/>
        <v/>
      </c>
      <c r="N164">
        <f t="shared" si="36"/>
        <v>0</v>
      </c>
      <c r="AT164" s="12" t="e">
        <f t="shared" si="42"/>
        <v>#N/A</v>
      </c>
      <c r="AU164" t="e">
        <f t="shared" si="42"/>
        <v>#N/A</v>
      </c>
      <c r="AV164" t="e">
        <f t="shared" si="42"/>
        <v>#N/A</v>
      </c>
      <c r="AW164" t="e">
        <f t="shared" si="42"/>
        <v>#N/A</v>
      </c>
      <c r="AX164" t="e">
        <f t="shared" si="42"/>
        <v>#N/A</v>
      </c>
      <c r="AY164" t="e">
        <f t="shared" si="42"/>
        <v>#N/A</v>
      </c>
      <c r="AZ164" s="13" t="e">
        <f t="shared" si="42"/>
        <v>#N/A</v>
      </c>
      <c r="BB164">
        <v>1005</v>
      </c>
    </row>
    <row r="165" spans="2:54" x14ac:dyDescent="0.45">
      <c r="B165" s="7">
        <v>11</v>
      </c>
      <c r="C165" s="13">
        <v>148</v>
      </c>
      <c r="D165" s="8">
        <v>1</v>
      </c>
      <c r="E165" s="8">
        <v>1</v>
      </c>
      <c r="F165">
        <f t="shared" si="34"/>
        <v>1</v>
      </c>
      <c r="G165" s="8">
        <v>155</v>
      </c>
      <c r="H165" s="13">
        <f t="shared" si="41"/>
        <v>155</v>
      </c>
      <c r="I165">
        <f t="shared" si="37"/>
        <v>340</v>
      </c>
      <c r="J165">
        <f t="shared" si="35"/>
        <v>340</v>
      </c>
      <c r="K165">
        <f t="shared" si="38"/>
        <v>0</v>
      </c>
      <c r="L165">
        <f t="shared" si="39"/>
        <v>155</v>
      </c>
      <c r="M165" s="13" t="str">
        <f t="shared" si="30"/>
        <v/>
      </c>
      <c r="N165">
        <f t="shared" si="36"/>
        <v>6</v>
      </c>
      <c r="AT165" s="12" t="e">
        <f t="shared" si="42"/>
        <v>#N/A</v>
      </c>
      <c r="AU165" t="e">
        <f t="shared" si="42"/>
        <v>#N/A</v>
      </c>
      <c r="AV165" t="e">
        <f t="shared" si="42"/>
        <v>#N/A</v>
      </c>
      <c r="AW165" t="e">
        <f t="shared" si="42"/>
        <v>#N/A</v>
      </c>
      <c r="AX165" t="e">
        <f t="shared" si="42"/>
        <v>#N/A</v>
      </c>
      <c r="AY165" t="e">
        <f t="shared" si="42"/>
        <v>#N/A</v>
      </c>
      <c r="AZ165" s="13" t="e">
        <f t="shared" si="42"/>
        <v>#N/A</v>
      </c>
      <c r="BB165">
        <v>1005</v>
      </c>
    </row>
    <row r="166" spans="2:54" x14ac:dyDescent="0.45">
      <c r="B166" s="7">
        <v>11</v>
      </c>
      <c r="C166" s="13">
        <v>149</v>
      </c>
      <c r="D166">
        <v>2</v>
      </c>
      <c r="E166">
        <v>1</v>
      </c>
      <c r="F166">
        <f t="shared" si="34"/>
        <v>1</v>
      </c>
      <c r="G166">
        <v>161</v>
      </c>
      <c r="H166" s="13">
        <f t="shared" si="41"/>
        <v>155</v>
      </c>
      <c r="I166">
        <f t="shared" si="37"/>
        <v>340</v>
      </c>
      <c r="J166">
        <f t="shared" si="35"/>
        <v>346</v>
      </c>
      <c r="K166">
        <f t="shared" si="38"/>
        <v>0</v>
      </c>
      <c r="L166">
        <f t="shared" si="39"/>
        <v>155</v>
      </c>
      <c r="M166" s="13" t="str">
        <f t="shared" si="30"/>
        <v/>
      </c>
      <c r="N166">
        <f t="shared" si="36"/>
        <v>-2</v>
      </c>
      <c r="AT166" s="12" t="e">
        <f t="shared" si="42"/>
        <v>#N/A</v>
      </c>
      <c r="AU166" t="e">
        <f t="shared" si="42"/>
        <v>#N/A</v>
      </c>
      <c r="AV166" t="e">
        <f t="shared" si="42"/>
        <v>#N/A</v>
      </c>
      <c r="AW166" t="e">
        <f t="shared" si="42"/>
        <v>#N/A</v>
      </c>
      <c r="AX166" t="e">
        <f t="shared" si="42"/>
        <v>#N/A</v>
      </c>
      <c r="AY166" t="e">
        <f t="shared" si="42"/>
        <v>#N/A</v>
      </c>
      <c r="AZ166" s="13" t="e">
        <f t="shared" si="42"/>
        <v>#N/A</v>
      </c>
      <c r="BB166">
        <v>1011</v>
      </c>
    </row>
    <row r="167" spans="2:54" x14ac:dyDescent="0.45">
      <c r="B167" s="7">
        <v>11</v>
      </c>
      <c r="C167" s="13">
        <v>150</v>
      </c>
      <c r="D167">
        <v>3</v>
      </c>
      <c r="E167">
        <v>1</v>
      </c>
      <c r="F167">
        <f t="shared" si="34"/>
        <v>1</v>
      </c>
      <c r="G167">
        <v>153</v>
      </c>
      <c r="H167" s="13">
        <f t="shared" si="41"/>
        <v>155</v>
      </c>
      <c r="I167">
        <f t="shared" si="37"/>
        <v>346</v>
      </c>
      <c r="J167">
        <f t="shared" si="35"/>
        <v>344</v>
      </c>
      <c r="K167">
        <f t="shared" si="38"/>
        <v>0</v>
      </c>
      <c r="L167">
        <f t="shared" si="39"/>
        <v>155</v>
      </c>
      <c r="M167" s="13" t="str">
        <f t="shared" si="30"/>
        <v/>
      </c>
      <c r="N167">
        <f t="shared" si="36"/>
        <v>-7</v>
      </c>
      <c r="AT167" s="12" t="e">
        <f t="shared" si="42"/>
        <v>#N/A</v>
      </c>
      <c r="AU167" t="e">
        <f t="shared" si="42"/>
        <v>#N/A</v>
      </c>
      <c r="AV167" t="e">
        <f t="shared" si="42"/>
        <v>#N/A</v>
      </c>
      <c r="AW167" t="e">
        <f t="shared" si="42"/>
        <v>#N/A</v>
      </c>
      <c r="AX167" t="e">
        <f t="shared" si="42"/>
        <v>#N/A</v>
      </c>
      <c r="AY167" t="e">
        <f t="shared" si="42"/>
        <v>#N/A</v>
      </c>
      <c r="AZ167" s="13" t="e">
        <f t="shared" si="42"/>
        <v>#N/A</v>
      </c>
      <c r="BB167">
        <v>1009</v>
      </c>
    </row>
    <row r="168" spans="2:54" x14ac:dyDescent="0.45">
      <c r="B168" s="7">
        <v>11</v>
      </c>
      <c r="C168" s="13">
        <v>151</v>
      </c>
      <c r="D168">
        <v>4</v>
      </c>
      <c r="E168">
        <v>1</v>
      </c>
      <c r="F168">
        <f t="shared" si="34"/>
        <v>1</v>
      </c>
      <c r="G168">
        <v>148</v>
      </c>
      <c r="H168" s="13">
        <f t="shared" si="41"/>
        <v>155</v>
      </c>
      <c r="I168">
        <f t="shared" si="37"/>
        <v>344</v>
      </c>
      <c r="J168">
        <f t="shared" si="35"/>
        <v>337</v>
      </c>
      <c r="K168">
        <f t="shared" si="38"/>
        <v>0</v>
      </c>
      <c r="L168">
        <f t="shared" si="39"/>
        <v>155</v>
      </c>
      <c r="M168" s="13" t="str">
        <f t="shared" si="30"/>
        <v/>
      </c>
      <c r="N168">
        <f t="shared" si="36"/>
        <v>-13</v>
      </c>
      <c r="AT168" s="12" t="e">
        <f t="shared" si="42"/>
        <v>#N/A</v>
      </c>
      <c r="AU168" t="e">
        <f t="shared" si="42"/>
        <v>#N/A</v>
      </c>
      <c r="AV168" t="e">
        <f t="shared" si="42"/>
        <v>#N/A</v>
      </c>
      <c r="AW168" t="e">
        <f t="shared" si="42"/>
        <v>#N/A</v>
      </c>
      <c r="AX168" t="e">
        <f t="shared" si="42"/>
        <v>#N/A</v>
      </c>
      <c r="AY168" t="e">
        <f t="shared" si="42"/>
        <v>#N/A</v>
      </c>
      <c r="AZ168" s="13" t="e">
        <f t="shared" si="42"/>
        <v>#N/A</v>
      </c>
      <c r="BB168">
        <v>1002</v>
      </c>
    </row>
    <row r="169" spans="2:54" x14ac:dyDescent="0.45">
      <c r="B169" s="7">
        <v>11</v>
      </c>
      <c r="C169" s="13">
        <v>152</v>
      </c>
      <c r="D169">
        <v>5</v>
      </c>
      <c r="E169">
        <v>1</v>
      </c>
      <c r="F169">
        <f t="shared" si="34"/>
        <v>1</v>
      </c>
      <c r="G169">
        <v>142</v>
      </c>
      <c r="H169" s="13">
        <f t="shared" si="41"/>
        <v>155</v>
      </c>
      <c r="I169">
        <f t="shared" si="37"/>
        <v>337</v>
      </c>
      <c r="J169">
        <f t="shared" si="35"/>
        <v>324</v>
      </c>
      <c r="K169">
        <f t="shared" si="38"/>
        <v>0</v>
      </c>
      <c r="L169">
        <f t="shared" si="39"/>
        <v>155</v>
      </c>
      <c r="M169" s="13" t="str">
        <f t="shared" si="30"/>
        <v/>
      </c>
      <c r="N169">
        <f t="shared" si="36"/>
        <v>0</v>
      </c>
      <c r="AT169" s="12" t="e">
        <f t="shared" si="42"/>
        <v>#N/A</v>
      </c>
      <c r="AU169" t="e">
        <f t="shared" si="42"/>
        <v>#N/A</v>
      </c>
      <c r="AV169" t="e">
        <f t="shared" si="42"/>
        <v>#N/A</v>
      </c>
      <c r="AW169" t="e">
        <f t="shared" si="42"/>
        <v>#N/A</v>
      </c>
      <c r="AX169" t="e">
        <f t="shared" si="42"/>
        <v>#N/A</v>
      </c>
      <c r="AY169" t="e">
        <f t="shared" si="42"/>
        <v>#N/A</v>
      </c>
      <c r="AZ169" s="13" t="e">
        <f t="shared" si="42"/>
        <v>#N/A</v>
      </c>
      <c r="BB169">
        <v>989</v>
      </c>
    </row>
    <row r="170" spans="2:54" x14ac:dyDescent="0.45">
      <c r="B170" s="7">
        <v>11</v>
      </c>
      <c r="C170" s="13">
        <v>153</v>
      </c>
      <c r="D170">
        <v>6</v>
      </c>
      <c r="E170">
        <v>0</v>
      </c>
      <c r="F170">
        <f t="shared" si="34"/>
        <v>0</v>
      </c>
      <c r="G170">
        <v>0</v>
      </c>
      <c r="H170" s="13">
        <f t="shared" si="41"/>
        <v>0</v>
      </c>
      <c r="I170">
        <f t="shared" si="37"/>
        <v>324</v>
      </c>
      <c r="J170">
        <f t="shared" si="35"/>
        <v>324</v>
      </c>
      <c r="K170">
        <f t="shared" si="38"/>
        <v>0</v>
      </c>
      <c r="L170" t="str">
        <f t="shared" si="39"/>
        <v/>
      </c>
      <c r="M170" s="13" t="str">
        <f t="shared" si="30"/>
        <v/>
      </c>
      <c r="N170">
        <f t="shared" si="36"/>
        <v>0</v>
      </c>
      <c r="AT170" s="12" t="e">
        <f t="shared" si="42"/>
        <v>#N/A</v>
      </c>
      <c r="AU170" t="e">
        <f t="shared" si="42"/>
        <v>#N/A</v>
      </c>
      <c r="AV170" t="e">
        <f t="shared" si="42"/>
        <v>#N/A</v>
      </c>
      <c r="AW170" t="e">
        <f t="shared" si="42"/>
        <v>#N/A</v>
      </c>
      <c r="AX170" t="e">
        <f t="shared" si="42"/>
        <v>#N/A</v>
      </c>
      <c r="AY170" t="e">
        <f t="shared" si="42"/>
        <v>#N/A</v>
      </c>
      <c r="AZ170" s="13" t="e">
        <f t="shared" si="42"/>
        <v>#N/A</v>
      </c>
      <c r="BB170">
        <v>989</v>
      </c>
    </row>
    <row r="171" spans="2:54" x14ac:dyDescent="0.45">
      <c r="B171" s="7">
        <v>11</v>
      </c>
      <c r="C171" s="13">
        <v>154</v>
      </c>
      <c r="D171" s="15">
        <v>7</v>
      </c>
      <c r="E171" s="15">
        <v>0</v>
      </c>
      <c r="F171">
        <f t="shared" si="34"/>
        <v>0</v>
      </c>
      <c r="G171" s="15">
        <v>0</v>
      </c>
      <c r="H171" s="13">
        <f t="shared" si="41"/>
        <v>0</v>
      </c>
      <c r="I171">
        <f t="shared" si="37"/>
        <v>324</v>
      </c>
      <c r="J171">
        <f t="shared" si="35"/>
        <v>324</v>
      </c>
      <c r="K171">
        <f t="shared" si="38"/>
        <v>0</v>
      </c>
      <c r="L171" t="str">
        <f t="shared" si="39"/>
        <v/>
      </c>
      <c r="M171" s="13">
        <f t="shared" si="30"/>
        <v>25</v>
      </c>
      <c r="N171">
        <f t="shared" si="36"/>
        <v>0</v>
      </c>
      <c r="AT171" s="12" t="e">
        <f t="shared" si="42"/>
        <v>#N/A</v>
      </c>
      <c r="AU171" t="e">
        <f t="shared" si="42"/>
        <v>#N/A</v>
      </c>
      <c r="AV171" t="e">
        <f t="shared" si="42"/>
        <v>#N/A</v>
      </c>
      <c r="AW171" t="e">
        <f t="shared" si="42"/>
        <v>#N/A</v>
      </c>
      <c r="AX171" t="e">
        <f t="shared" si="42"/>
        <v>#N/A</v>
      </c>
      <c r="AY171" t="e">
        <f t="shared" si="42"/>
        <v>#N/A</v>
      </c>
      <c r="AZ171" s="13" t="e">
        <f t="shared" si="42"/>
        <v>#N/A</v>
      </c>
      <c r="BB171">
        <v>989</v>
      </c>
    </row>
    <row r="172" spans="2:54" x14ac:dyDescent="0.45">
      <c r="B172" s="11">
        <v>12</v>
      </c>
      <c r="C172" s="13">
        <v>155</v>
      </c>
      <c r="D172" s="8">
        <v>1</v>
      </c>
      <c r="E172" s="8">
        <v>1</v>
      </c>
      <c r="F172">
        <f t="shared" si="34"/>
        <v>1</v>
      </c>
      <c r="G172" s="8">
        <v>155</v>
      </c>
      <c r="H172" s="13">
        <f t="shared" si="41"/>
        <v>155</v>
      </c>
      <c r="I172">
        <f t="shared" si="37"/>
        <v>324</v>
      </c>
      <c r="J172">
        <f t="shared" si="35"/>
        <v>324</v>
      </c>
      <c r="K172">
        <f t="shared" si="38"/>
        <v>0</v>
      </c>
      <c r="L172">
        <f t="shared" si="39"/>
        <v>155</v>
      </c>
      <c r="M172" s="13" t="str">
        <f t="shared" si="30"/>
        <v/>
      </c>
      <c r="N172">
        <f t="shared" si="36"/>
        <v>2</v>
      </c>
      <c r="AT172" s="12" t="e">
        <f t="shared" si="42"/>
        <v>#N/A</v>
      </c>
      <c r="AU172" t="e">
        <f t="shared" si="42"/>
        <v>#N/A</v>
      </c>
      <c r="AV172" t="e">
        <f t="shared" si="42"/>
        <v>#N/A</v>
      </c>
      <c r="AW172" t="e">
        <f t="shared" si="42"/>
        <v>#N/A</v>
      </c>
      <c r="AX172" t="e">
        <f t="shared" si="42"/>
        <v>#N/A</v>
      </c>
      <c r="AY172" t="e">
        <f t="shared" si="42"/>
        <v>#N/A</v>
      </c>
      <c r="AZ172" s="13" t="e">
        <f t="shared" si="42"/>
        <v>#N/A</v>
      </c>
      <c r="BB172">
        <v>989</v>
      </c>
    </row>
    <row r="173" spans="2:54" x14ac:dyDescent="0.45">
      <c r="B173" s="11">
        <v>12</v>
      </c>
      <c r="C173" s="13">
        <v>156</v>
      </c>
      <c r="D173">
        <v>2</v>
      </c>
      <c r="E173">
        <v>1</v>
      </c>
      <c r="F173">
        <f t="shared" si="34"/>
        <v>1</v>
      </c>
      <c r="G173">
        <v>157</v>
      </c>
      <c r="H173" s="13">
        <f t="shared" si="41"/>
        <v>155</v>
      </c>
      <c r="I173">
        <f t="shared" si="37"/>
        <v>324</v>
      </c>
      <c r="J173">
        <f t="shared" si="35"/>
        <v>326</v>
      </c>
      <c r="K173">
        <f t="shared" si="38"/>
        <v>0</v>
      </c>
      <c r="L173">
        <f t="shared" si="39"/>
        <v>155</v>
      </c>
      <c r="M173" s="13" t="str">
        <f t="shared" si="30"/>
        <v/>
      </c>
      <c r="N173">
        <f t="shared" si="36"/>
        <v>23</v>
      </c>
      <c r="AT173" s="12" t="e">
        <f t="shared" si="42"/>
        <v>#N/A</v>
      </c>
      <c r="AU173" t="e">
        <f t="shared" si="42"/>
        <v>#N/A</v>
      </c>
      <c r="AV173" t="e">
        <f t="shared" si="42"/>
        <v>#N/A</v>
      </c>
      <c r="AW173" t="e">
        <f t="shared" si="42"/>
        <v>#N/A</v>
      </c>
      <c r="AX173" t="e">
        <f t="shared" si="42"/>
        <v>#N/A</v>
      </c>
      <c r="AY173" t="e">
        <f t="shared" si="42"/>
        <v>#N/A</v>
      </c>
      <c r="AZ173" s="13" t="e">
        <f t="shared" si="42"/>
        <v>#N/A</v>
      </c>
      <c r="BB173">
        <v>991</v>
      </c>
    </row>
    <row r="174" spans="2:54" x14ac:dyDescent="0.45">
      <c r="B174" s="11">
        <v>12</v>
      </c>
      <c r="C174" s="13">
        <v>157</v>
      </c>
      <c r="D174">
        <v>3</v>
      </c>
      <c r="E174">
        <v>1</v>
      </c>
      <c r="F174">
        <f t="shared" si="34"/>
        <v>1</v>
      </c>
      <c r="G174">
        <v>178</v>
      </c>
      <c r="H174" s="13">
        <f t="shared" si="41"/>
        <v>155</v>
      </c>
      <c r="I174">
        <f t="shared" si="37"/>
        <v>326</v>
      </c>
      <c r="J174">
        <f t="shared" si="35"/>
        <v>349</v>
      </c>
      <c r="K174">
        <f t="shared" si="38"/>
        <v>0</v>
      </c>
      <c r="L174">
        <f t="shared" si="39"/>
        <v>155</v>
      </c>
      <c r="M174" s="13" t="str">
        <f t="shared" ref="M174:M213" si="43">IF(B175&lt;&gt;B174,J174-I147,"")</f>
        <v/>
      </c>
      <c r="N174">
        <f t="shared" si="36"/>
        <v>12</v>
      </c>
      <c r="AT174" s="12" t="e">
        <f t="shared" si="42"/>
        <v>#N/A</v>
      </c>
      <c r="AU174" t="e">
        <f t="shared" si="42"/>
        <v>#N/A</v>
      </c>
      <c r="AV174" t="e">
        <f t="shared" si="42"/>
        <v>#N/A</v>
      </c>
      <c r="AW174" t="e">
        <f t="shared" si="42"/>
        <v>#N/A</v>
      </c>
      <c r="AX174" t="e">
        <f t="shared" si="42"/>
        <v>#N/A</v>
      </c>
      <c r="AY174" t="e">
        <f t="shared" si="42"/>
        <v>#N/A</v>
      </c>
      <c r="AZ174" s="13" t="e">
        <f t="shared" si="42"/>
        <v>#N/A</v>
      </c>
      <c r="BB174">
        <v>1014</v>
      </c>
    </row>
    <row r="175" spans="2:54" x14ac:dyDescent="0.45">
      <c r="B175" s="11">
        <v>12</v>
      </c>
      <c r="C175" s="13">
        <v>158</v>
      </c>
      <c r="D175">
        <v>4</v>
      </c>
      <c r="E175">
        <v>1</v>
      </c>
      <c r="F175">
        <f t="shared" si="34"/>
        <v>1</v>
      </c>
      <c r="G175">
        <v>167</v>
      </c>
      <c r="H175" s="13">
        <f t="shared" si="41"/>
        <v>155</v>
      </c>
      <c r="I175">
        <f t="shared" si="37"/>
        <v>349</v>
      </c>
      <c r="J175">
        <f t="shared" si="35"/>
        <v>361</v>
      </c>
      <c r="K175">
        <f t="shared" si="38"/>
        <v>0</v>
      </c>
      <c r="L175">
        <f t="shared" si="39"/>
        <v>155</v>
      </c>
      <c r="M175" s="13" t="str">
        <f t="shared" si="43"/>
        <v/>
      </c>
      <c r="N175">
        <f t="shared" si="36"/>
        <v>13</v>
      </c>
      <c r="AT175" s="12" t="e">
        <f t="shared" si="42"/>
        <v>#N/A</v>
      </c>
      <c r="AU175" t="e">
        <f t="shared" si="42"/>
        <v>#N/A</v>
      </c>
      <c r="AV175" t="e">
        <f t="shared" si="42"/>
        <v>#N/A</v>
      </c>
      <c r="AW175" t="e">
        <f t="shared" si="42"/>
        <v>#N/A</v>
      </c>
      <c r="AX175" t="e">
        <f t="shared" si="42"/>
        <v>#N/A</v>
      </c>
      <c r="AY175" t="e">
        <f t="shared" si="42"/>
        <v>#N/A</v>
      </c>
      <c r="AZ175" s="13" t="e">
        <f t="shared" si="42"/>
        <v>#N/A</v>
      </c>
      <c r="BB175">
        <v>1026</v>
      </c>
    </row>
    <row r="176" spans="2:54" x14ac:dyDescent="0.45">
      <c r="B176" s="11">
        <v>12</v>
      </c>
      <c r="C176" s="13">
        <v>159</v>
      </c>
      <c r="D176">
        <v>5</v>
      </c>
      <c r="E176">
        <v>1</v>
      </c>
      <c r="F176">
        <f t="shared" si="34"/>
        <v>1</v>
      </c>
      <c r="G176">
        <v>168</v>
      </c>
      <c r="H176" s="13">
        <f t="shared" si="41"/>
        <v>155</v>
      </c>
      <c r="I176">
        <f t="shared" si="37"/>
        <v>361</v>
      </c>
      <c r="J176">
        <f t="shared" si="35"/>
        <v>374</v>
      </c>
      <c r="K176">
        <f t="shared" si="38"/>
        <v>0</v>
      </c>
      <c r="L176">
        <f t="shared" si="39"/>
        <v>155</v>
      </c>
      <c r="M176" s="13" t="str">
        <f t="shared" si="43"/>
        <v/>
      </c>
      <c r="N176">
        <f t="shared" si="36"/>
        <v>0</v>
      </c>
      <c r="AT176" s="12" t="e">
        <f t="shared" si="42"/>
        <v>#N/A</v>
      </c>
      <c r="AU176" t="e">
        <f t="shared" si="42"/>
        <v>#N/A</v>
      </c>
      <c r="AV176" t="e">
        <f t="shared" si="42"/>
        <v>#N/A</v>
      </c>
      <c r="AW176" t="e">
        <f t="shared" si="42"/>
        <v>#N/A</v>
      </c>
      <c r="AX176" t="e">
        <f t="shared" si="42"/>
        <v>#N/A</v>
      </c>
      <c r="AY176" t="e">
        <f t="shared" si="42"/>
        <v>#N/A</v>
      </c>
      <c r="AZ176" s="13" t="e">
        <f t="shared" si="42"/>
        <v>#N/A</v>
      </c>
      <c r="BB176">
        <v>1039</v>
      </c>
    </row>
    <row r="177" spans="2:54" x14ac:dyDescent="0.45">
      <c r="B177" s="11">
        <v>12</v>
      </c>
      <c r="C177" s="13">
        <v>160</v>
      </c>
      <c r="D177">
        <v>6</v>
      </c>
      <c r="E177">
        <v>0</v>
      </c>
      <c r="F177">
        <f t="shared" si="34"/>
        <v>0</v>
      </c>
      <c r="G177">
        <v>0</v>
      </c>
      <c r="H177" s="13">
        <f t="shared" si="41"/>
        <v>0</v>
      </c>
      <c r="I177">
        <f t="shared" si="37"/>
        <v>374</v>
      </c>
      <c r="J177">
        <f t="shared" si="35"/>
        <v>374</v>
      </c>
      <c r="K177">
        <f t="shared" si="38"/>
        <v>0</v>
      </c>
      <c r="L177" t="str">
        <f t="shared" si="39"/>
        <v/>
      </c>
      <c r="M177" s="13" t="str">
        <f t="shared" si="43"/>
        <v/>
      </c>
      <c r="N177">
        <f t="shared" si="36"/>
        <v>0</v>
      </c>
      <c r="AT177" s="12" t="e">
        <f t="shared" si="42"/>
        <v>#N/A</v>
      </c>
      <c r="AU177" t="e">
        <f t="shared" si="42"/>
        <v>#N/A</v>
      </c>
      <c r="AV177" t="e">
        <f t="shared" si="42"/>
        <v>#N/A</v>
      </c>
      <c r="AW177" t="e">
        <f t="shared" si="42"/>
        <v>#N/A</v>
      </c>
      <c r="AX177" t="e">
        <f t="shared" si="42"/>
        <v>#N/A</v>
      </c>
      <c r="AY177" t="e">
        <f t="shared" si="42"/>
        <v>#N/A</v>
      </c>
      <c r="AZ177" s="13" t="e">
        <f t="shared" si="42"/>
        <v>#N/A</v>
      </c>
      <c r="BB177">
        <v>1039</v>
      </c>
    </row>
    <row r="178" spans="2:54" x14ac:dyDescent="0.45">
      <c r="B178" s="11">
        <v>12</v>
      </c>
      <c r="C178" s="13">
        <v>161</v>
      </c>
      <c r="D178" s="15">
        <v>7</v>
      </c>
      <c r="E178" s="15">
        <v>0</v>
      </c>
      <c r="F178">
        <f t="shared" si="34"/>
        <v>0</v>
      </c>
      <c r="G178" s="15">
        <v>0</v>
      </c>
      <c r="H178" s="13">
        <f t="shared" si="41"/>
        <v>0</v>
      </c>
      <c r="I178">
        <f t="shared" si="37"/>
        <v>374</v>
      </c>
      <c r="J178">
        <f t="shared" si="35"/>
        <v>374</v>
      </c>
      <c r="K178">
        <f t="shared" si="38"/>
        <v>0</v>
      </c>
      <c r="L178" t="str">
        <f t="shared" si="39"/>
        <v/>
      </c>
      <c r="M178" s="13" t="str">
        <f t="shared" si="43"/>
        <v/>
      </c>
      <c r="N178">
        <f t="shared" si="36"/>
        <v>15</v>
      </c>
      <c r="AT178" s="12" t="e">
        <f t="shared" ref="AT178:AZ193" si="44">IF($B178=AT$17,$J178,NA())</f>
        <v>#N/A</v>
      </c>
      <c r="AU178" t="e">
        <f t="shared" si="44"/>
        <v>#N/A</v>
      </c>
      <c r="AV178" t="e">
        <f t="shared" si="44"/>
        <v>#N/A</v>
      </c>
      <c r="AW178" t="e">
        <f t="shared" si="44"/>
        <v>#N/A</v>
      </c>
      <c r="AX178" t="e">
        <f t="shared" si="44"/>
        <v>#N/A</v>
      </c>
      <c r="AY178" t="e">
        <f t="shared" si="44"/>
        <v>#N/A</v>
      </c>
      <c r="AZ178" s="13" t="e">
        <f t="shared" si="44"/>
        <v>#N/A</v>
      </c>
      <c r="BB178">
        <v>1039</v>
      </c>
    </row>
    <row r="179" spans="2:54" x14ac:dyDescent="0.45">
      <c r="B179" s="11">
        <v>12</v>
      </c>
      <c r="C179" s="13">
        <v>162</v>
      </c>
      <c r="D179" s="8">
        <v>1</v>
      </c>
      <c r="E179" s="8">
        <v>1</v>
      </c>
      <c r="F179">
        <f t="shared" si="34"/>
        <v>1</v>
      </c>
      <c r="G179" s="8">
        <v>170</v>
      </c>
      <c r="H179" s="13">
        <f t="shared" si="41"/>
        <v>155</v>
      </c>
      <c r="I179">
        <f t="shared" si="37"/>
        <v>374</v>
      </c>
      <c r="J179">
        <f t="shared" si="35"/>
        <v>389</v>
      </c>
      <c r="K179">
        <f t="shared" si="38"/>
        <v>0</v>
      </c>
      <c r="L179">
        <f t="shared" si="39"/>
        <v>155</v>
      </c>
      <c r="M179" s="13" t="str">
        <f t="shared" si="43"/>
        <v/>
      </c>
      <c r="N179">
        <f t="shared" si="36"/>
        <v>4</v>
      </c>
      <c r="AT179" s="12" t="e">
        <f t="shared" si="44"/>
        <v>#N/A</v>
      </c>
      <c r="AU179" t="e">
        <f t="shared" si="44"/>
        <v>#N/A</v>
      </c>
      <c r="AV179" t="e">
        <f t="shared" si="44"/>
        <v>#N/A</v>
      </c>
      <c r="AW179" t="e">
        <f t="shared" si="44"/>
        <v>#N/A</v>
      </c>
      <c r="AX179" t="e">
        <f t="shared" si="44"/>
        <v>#N/A</v>
      </c>
      <c r="AY179" t="e">
        <f t="shared" si="44"/>
        <v>#N/A</v>
      </c>
      <c r="AZ179" s="13" t="e">
        <f t="shared" si="44"/>
        <v>#N/A</v>
      </c>
      <c r="BB179">
        <v>1054</v>
      </c>
    </row>
    <row r="180" spans="2:54" x14ac:dyDescent="0.45">
      <c r="B180" s="11">
        <v>12</v>
      </c>
      <c r="C180" s="13">
        <v>163</v>
      </c>
      <c r="D180">
        <v>2</v>
      </c>
      <c r="E180">
        <v>1</v>
      </c>
      <c r="F180">
        <f t="shared" si="34"/>
        <v>1</v>
      </c>
      <c r="G180">
        <v>159</v>
      </c>
      <c r="H180" s="13">
        <f t="shared" si="41"/>
        <v>155</v>
      </c>
      <c r="I180">
        <f t="shared" si="37"/>
        <v>389</v>
      </c>
      <c r="J180">
        <f t="shared" si="35"/>
        <v>393</v>
      </c>
      <c r="K180">
        <f t="shared" si="38"/>
        <v>0</v>
      </c>
      <c r="L180">
        <f t="shared" si="39"/>
        <v>155</v>
      </c>
      <c r="M180" s="13" t="str">
        <f t="shared" si="43"/>
        <v/>
      </c>
      <c r="N180">
        <f t="shared" si="36"/>
        <v>8</v>
      </c>
      <c r="AT180" s="12" t="e">
        <f t="shared" si="44"/>
        <v>#N/A</v>
      </c>
      <c r="AU180" t="e">
        <f t="shared" si="44"/>
        <v>#N/A</v>
      </c>
      <c r="AV180" t="e">
        <f t="shared" si="44"/>
        <v>#N/A</v>
      </c>
      <c r="AW180" t="e">
        <f t="shared" si="44"/>
        <v>#N/A</v>
      </c>
      <c r="AX180" t="e">
        <f t="shared" si="44"/>
        <v>#N/A</v>
      </c>
      <c r="AY180" t="e">
        <f t="shared" si="44"/>
        <v>#N/A</v>
      </c>
      <c r="AZ180" s="13" t="e">
        <f t="shared" si="44"/>
        <v>#N/A</v>
      </c>
      <c r="BB180">
        <v>1058</v>
      </c>
    </row>
    <row r="181" spans="2:54" x14ac:dyDescent="0.45">
      <c r="B181" s="11">
        <v>12</v>
      </c>
      <c r="C181" s="13">
        <v>164</v>
      </c>
      <c r="D181">
        <v>3</v>
      </c>
      <c r="E181">
        <v>1</v>
      </c>
      <c r="F181">
        <f t="shared" si="34"/>
        <v>1</v>
      </c>
      <c r="G181">
        <v>163</v>
      </c>
      <c r="H181" s="13">
        <f t="shared" si="41"/>
        <v>155</v>
      </c>
      <c r="I181">
        <f t="shared" si="37"/>
        <v>393</v>
      </c>
      <c r="J181">
        <f t="shared" si="35"/>
        <v>401</v>
      </c>
      <c r="K181">
        <f t="shared" si="38"/>
        <v>0</v>
      </c>
      <c r="L181">
        <f t="shared" si="39"/>
        <v>155</v>
      </c>
      <c r="M181" s="13" t="str">
        <f t="shared" si="43"/>
        <v/>
      </c>
      <c r="N181">
        <f t="shared" si="36"/>
        <v>19</v>
      </c>
      <c r="AT181" s="12" t="e">
        <f t="shared" si="44"/>
        <v>#N/A</v>
      </c>
      <c r="AU181" t="e">
        <f t="shared" si="44"/>
        <v>#N/A</v>
      </c>
      <c r="AV181" t="e">
        <f t="shared" si="44"/>
        <v>#N/A</v>
      </c>
      <c r="AW181" t="e">
        <f t="shared" si="44"/>
        <v>#N/A</v>
      </c>
      <c r="AX181" t="e">
        <f t="shared" si="44"/>
        <v>#N/A</v>
      </c>
      <c r="AY181" t="e">
        <f t="shared" si="44"/>
        <v>#N/A</v>
      </c>
      <c r="AZ181" s="13" t="e">
        <f t="shared" si="44"/>
        <v>#N/A</v>
      </c>
      <c r="BB181">
        <v>1066</v>
      </c>
    </row>
    <row r="182" spans="2:54" x14ac:dyDescent="0.45">
      <c r="B182" s="11">
        <v>12</v>
      </c>
      <c r="C182" s="13">
        <v>165</v>
      </c>
      <c r="D182">
        <v>4</v>
      </c>
      <c r="E182">
        <v>1</v>
      </c>
      <c r="F182">
        <f t="shared" si="34"/>
        <v>1</v>
      </c>
      <c r="G182">
        <v>174</v>
      </c>
      <c r="H182" s="13">
        <f t="shared" si="41"/>
        <v>155</v>
      </c>
      <c r="I182">
        <f t="shared" si="37"/>
        <v>401</v>
      </c>
      <c r="J182">
        <f t="shared" si="35"/>
        <v>420</v>
      </c>
      <c r="K182">
        <f t="shared" si="38"/>
        <v>0</v>
      </c>
      <c r="L182">
        <f t="shared" si="39"/>
        <v>155</v>
      </c>
      <c r="M182" s="13" t="str">
        <f t="shared" si="43"/>
        <v/>
      </c>
      <c r="N182">
        <f t="shared" si="36"/>
        <v>11</v>
      </c>
      <c r="AT182" s="12" t="e">
        <f t="shared" si="44"/>
        <v>#N/A</v>
      </c>
      <c r="AU182" t="e">
        <f t="shared" si="44"/>
        <v>#N/A</v>
      </c>
      <c r="AV182" t="e">
        <f t="shared" si="44"/>
        <v>#N/A</v>
      </c>
      <c r="AW182" t="e">
        <f t="shared" si="44"/>
        <v>#N/A</v>
      </c>
      <c r="AX182" t="e">
        <f t="shared" si="44"/>
        <v>#N/A</v>
      </c>
      <c r="AY182" t="e">
        <f t="shared" si="44"/>
        <v>#N/A</v>
      </c>
      <c r="AZ182" s="13" t="e">
        <f t="shared" si="44"/>
        <v>#N/A</v>
      </c>
      <c r="BB182">
        <v>1085</v>
      </c>
    </row>
    <row r="183" spans="2:54" x14ac:dyDescent="0.45">
      <c r="B183" s="11">
        <v>12</v>
      </c>
      <c r="C183" s="13">
        <v>166</v>
      </c>
      <c r="D183">
        <v>5</v>
      </c>
      <c r="E183">
        <v>1</v>
      </c>
      <c r="F183">
        <f t="shared" si="34"/>
        <v>1</v>
      </c>
      <c r="G183">
        <v>166</v>
      </c>
      <c r="H183" s="13">
        <f t="shared" si="41"/>
        <v>155</v>
      </c>
      <c r="I183">
        <f t="shared" si="37"/>
        <v>420</v>
      </c>
      <c r="J183">
        <f t="shared" si="35"/>
        <v>431</v>
      </c>
      <c r="K183">
        <f t="shared" si="38"/>
        <v>0</v>
      </c>
      <c r="L183">
        <f t="shared" si="39"/>
        <v>155</v>
      </c>
      <c r="M183" s="13" t="str">
        <f t="shared" si="43"/>
        <v/>
      </c>
      <c r="N183">
        <f t="shared" si="36"/>
        <v>0</v>
      </c>
      <c r="AT183" s="12" t="e">
        <f t="shared" si="44"/>
        <v>#N/A</v>
      </c>
      <c r="AU183" t="e">
        <f t="shared" si="44"/>
        <v>#N/A</v>
      </c>
      <c r="AV183" t="e">
        <f t="shared" si="44"/>
        <v>#N/A</v>
      </c>
      <c r="AW183" t="e">
        <f t="shared" si="44"/>
        <v>#N/A</v>
      </c>
      <c r="AX183" t="e">
        <f t="shared" si="44"/>
        <v>#N/A</v>
      </c>
      <c r="AY183" t="e">
        <f t="shared" si="44"/>
        <v>#N/A</v>
      </c>
      <c r="AZ183" s="13" t="e">
        <f t="shared" si="44"/>
        <v>#N/A</v>
      </c>
      <c r="BB183">
        <v>1096</v>
      </c>
    </row>
    <row r="184" spans="2:54" x14ac:dyDescent="0.45">
      <c r="B184" s="11">
        <v>12</v>
      </c>
      <c r="C184" s="13">
        <v>167</v>
      </c>
      <c r="D184">
        <v>6</v>
      </c>
      <c r="E184">
        <v>0</v>
      </c>
      <c r="F184">
        <f t="shared" si="34"/>
        <v>0</v>
      </c>
      <c r="G184">
        <v>0</v>
      </c>
      <c r="H184" s="13">
        <f t="shared" si="41"/>
        <v>0</v>
      </c>
      <c r="I184">
        <f t="shared" si="37"/>
        <v>431</v>
      </c>
      <c r="J184">
        <f t="shared" si="35"/>
        <v>431</v>
      </c>
      <c r="K184">
        <f t="shared" si="38"/>
        <v>0</v>
      </c>
      <c r="L184" t="str">
        <f t="shared" si="39"/>
        <v/>
      </c>
      <c r="M184" s="13" t="str">
        <f t="shared" si="43"/>
        <v/>
      </c>
      <c r="N184">
        <f t="shared" si="36"/>
        <v>0</v>
      </c>
      <c r="AT184" s="12" t="e">
        <f t="shared" si="44"/>
        <v>#N/A</v>
      </c>
      <c r="AU184" t="e">
        <f t="shared" si="44"/>
        <v>#N/A</v>
      </c>
      <c r="AV184" t="e">
        <f t="shared" si="44"/>
        <v>#N/A</v>
      </c>
      <c r="AW184" t="e">
        <f t="shared" si="44"/>
        <v>#N/A</v>
      </c>
      <c r="AX184" t="e">
        <f t="shared" si="44"/>
        <v>#N/A</v>
      </c>
      <c r="AY184" t="e">
        <f t="shared" si="44"/>
        <v>#N/A</v>
      </c>
      <c r="AZ184" s="13" t="e">
        <f t="shared" si="44"/>
        <v>#N/A</v>
      </c>
      <c r="BB184">
        <v>1096</v>
      </c>
    </row>
    <row r="185" spans="2:54" x14ac:dyDescent="0.45">
      <c r="B185" s="11">
        <v>12</v>
      </c>
      <c r="C185" s="13">
        <v>168</v>
      </c>
      <c r="D185" s="15">
        <v>7</v>
      </c>
      <c r="E185" s="15">
        <v>0</v>
      </c>
      <c r="F185">
        <f t="shared" si="34"/>
        <v>0</v>
      </c>
      <c r="G185" s="15">
        <v>0</v>
      </c>
      <c r="H185" s="13">
        <f t="shared" si="41"/>
        <v>0</v>
      </c>
      <c r="I185">
        <f t="shared" si="37"/>
        <v>431</v>
      </c>
      <c r="J185">
        <f t="shared" si="35"/>
        <v>431</v>
      </c>
      <c r="K185">
        <f t="shared" si="38"/>
        <v>0</v>
      </c>
      <c r="L185" t="str">
        <f t="shared" si="39"/>
        <v/>
      </c>
      <c r="M185" s="13">
        <f t="shared" si="43"/>
        <v>99</v>
      </c>
      <c r="N185">
        <f t="shared" si="36"/>
        <v>5</v>
      </c>
      <c r="AT185" s="12" t="e">
        <f t="shared" si="44"/>
        <v>#N/A</v>
      </c>
      <c r="AU185" t="e">
        <f t="shared" si="44"/>
        <v>#N/A</v>
      </c>
      <c r="AV185" t="e">
        <f t="shared" si="44"/>
        <v>#N/A</v>
      </c>
      <c r="AW185" t="e">
        <f t="shared" si="44"/>
        <v>#N/A</v>
      </c>
      <c r="AX185" t="e">
        <f t="shared" si="44"/>
        <v>#N/A</v>
      </c>
      <c r="AY185" t="e">
        <f t="shared" si="44"/>
        <v>#N/A</v>
      </c>
      <c r="AZ185" s="13" t="e">
        <f t="shared" si="44"/>
        <v>#N/A</v>
      </c>
      <c r="BB185">
        <v>1096</v>
      </c>
    </row>
    <row r="186" spans="2:54" x14ac:dyDescent="0.45">
      <c r="B186" s="7">
        <v>13</v>
      </c>
      <c r="C186" s="13">
        <v>169</v>
      </c>
      <c r="D186" s="8">
        <v>1</v>
      </c>
      <c r="E186" s="8">
        <v>1</v>
      </c>
      <c r="F186">
        <f t="shared" si="34"/>
        <v>1</v>
      </c>
      <c r="G186" s="8">
        <v>160</v>
      </c>
      <c r="H186" s="13">
        <f t="shared" si="41"/>
        <v>155</v>
      </c>
      <c r="I186">
        <f t="shared" si="37"/>
        <v>431</v>
      </c>
      <c r="J186">
        <f t="shared" si="35"/>
        <v>436</v>
      </c>
      <c r="K186">
        <f t="shared" si="38"/>
        <v>0</v>
      </c>
      <c r="L186">
        <f t="shared" si="39"/>
        <v>155</v>
      </c>
      <c r="M186" s="13" t="str">
        <f t="shared" si="43"/>
        <v/>
      </c>
      <c r="N186">
        <f t="shared" si="36"/>
        <v>4</v>
      </c>
      <c r="AT186" s="12" t="e">
        <f t="shared" si="44"/>
        <v>#N/A</v>
      </c>
      <c r="AU186" t="e">
        <f t="shared" si="44"/>
        <v>#N/A</v>
      </c>
      <c r="AV186" t="e">
        <f t="shared" si="44"/>
        <v>#N/A</v>
      </c>
      <c r="AW186" t="e">
        <f t="shared" si="44"/>
        <v>#N/A</v>
      </c>
      <c r="AX186" t="e">
        <f t="shared" si="44"/>
        <v>#N/A</v>
      </c>
      <c r="AY186" t="e">
        <f t="shared" si="44"/>
        <v>#N/A</v>
      </c>
      <c r="AZ186" s="13" t="e">
        <f t="shared" si="44"/>
        <v>#N/A</v>
      </c>
      <c r="BB186">
        <v>1101</v>
      </c>
    </row>
    <row r="187" spans="2:54" x14ac:dyDescent="0.45">
      <c r="B187" s="7">
        <v>13</v>
      </c>
      <c r="C187" s="13">
        <v>170</v>
      </c>
      <c r="D187">
        <v>2</v>
      </c>
      <c r="E187">
        <v>1</v>
      </c>
      <c r="F187">
        <f t="shared" si="34"/>
        <v>1</v>
      </c>
      <c r="G187">
        <v>159</v>
      </c>
      <c r="H187" s="13">
        <f t="shared" si="41"/>
        <v>155</v>
      </c>
      <c r="I187">
        <f t="shared" si="37"/>
        <v>436</v>
      </c>
      <c r="J187">
        <f t="shared" si="35"/>
        <v>440</v>
      </c>
      <c r="K187">
        <f t="shared" si="38"/>
        <v>0</v>
      </c>
      <c r="L187">
        <f t="shared" si="39"/>
        <v>155</v>
      </c>
      <c r="M187" s="13" t="str">
        <f t="shared" si="43"/>
        <v/>
      </c>
      <c r="N187">
        <f t="shared" si="36"/>
        <v>-3</v>
      </c>
      <c r="AT187" s="12" t="e">
        <f t="shared" si="44"/>
        <v>#N/A</v>
      </c>
      <c r="AU187" t="e">
        <f t="shared" si="44"/>
        <v>#N/A</v>
      </c>
      <c r="AV187" t="e">
        <f t="shared" si="44"/>
        <v>#N/A</v>
      </c>
      <c r="AW187" t="e">
        <f t="shared" si="44"/>
        <v>#N/A</v>
      </c>
      <c r="AX187" t="e">
        <f t="shared" si="44"/>
        <v>#N/A</v>
      </c>
      <c r="AY187" t="e">
        <f t="shared" si="44"/>
        <v>#N/A</v>
      </c>
      <c r="AZ187" s="13" t="e">
        <f t="shared" si="44"/>
        <v>#N/A</v>
      </c>
      <c r="BB187">
        <v>1105</v>
      </c>
    </row>
    <row r="188" spans="2:54" x14ac:dyDescent="0.45">
      <c r="B188" s="7">
        <v>13</v>
      </c>
      <c r="C188" s="13">
        <v>171</v>
      </c>
      <c r="D188">
        <v>3</v>
      </c>
      <c r="E188">
        <v>1</v>
      </c>
      <c r="F188">
        <f t="shared" si="34"/>
        <v>1</v>
      </c>
      <c r="G188">
        <v>152</v>
      </c>
      <c r="H188" s="13">
        <f t="shared" si="41"/>
        <v>155</v>
      </c>
      <c r="I188">
        <f t="shared" si="37"/>
        <v>440</v>
      </c>
      <c r="J188">
        <f t="shared" si="35"/>
        <v>437</v>
      </c>
      <c r="K188">
        <f t="shared" si="38"/>
        <v>0</v>
      </c>
      <c r="L188">
        <f t="shared" si="39"/>
        <v>155</v>
      </c>
      <c r="M188" s="13" t="str">
        <f t="shared" si="43"/>
        <v/>
      </c>
      <c r="N188">
        <f t="shared" si="36"/>
        <v>2</v>
      </c>
      <c r="AT188" s="12" t="e">
        <f t="shared" si="44"/>
        <v>#N/A</v>
      </c>
      <c r="AU188" t="e">
        <f t="shared" si="44"/>
        <v>#N/A</v>
      </c>
      <c r="AV188" t="e">
        <f t="shared" si="44"/>
        <v>#N/A</v>
      </c>
      <c r="AW188" t="e">
        <f t="shared" si="44"/>
        <v>#N/A</v>
      </c>
      <c r="AX188" t="e">
        <f t="shared" si="44"/>
        <v>#N/A</v>
      </c>
      <c r="AY188" t="e">
        <f t="shared" si="44"/>
        <v>#N/A</v>
      </c>
      <c r="AZ188" s="13" t="e">
        <f t="shared" si="44"/>
        <v>#N/A</v>
      </c>
      <c r="BB188">
        <v>1102</v>
      </c>
    </row>
    <row r="189" spans="2:54" x14ac:dyDescent="0.45">
      <c r="B189" s="7">
        <v>13</v>
      </c>
      <c r="C189" s="13">
        <v>172</v>
      </c>
      <c r="D189">
        <v>4</v>
      </c>
      <c r="E189">
        <v>1</v>
      </c>
      <c r="F189">
        <f t="shared" si="34"/>
        <v>1</v>
      </c>
      <c r="G189">
        <v>157</v>
      </c>
      <c r="H189" s="13">
        <f t="shared" si="41"/>
        <v>155</v>
      </c>
      <c r="I189">
        <f t="shared" si="37"/>
        <v>437</v>
      </c>
      <c r="J189">
        <f t="shared" si="35"/>
        <v>439</v>
      </c>
      <c r="K189">
        <f t="shared" si="38"/>
        <v>0</v>
      </c>
      <c r="L189">
        <f t="shared" si="39"/>
        <v>155</v>
      </c>
      <c r="M189" s="13" t="str">
        <f t="shared" si="43"/>
        <v/>
      </c>
      <c r="N189">
        <f t="shared" si="36"/>
        <v>4</v>
      </c>
      <c r="AT189" s="12" t="e">
        <f t="shared" si="44"/>
        <v>#N/A</v>
      </c>
      <c r="AU189" t="e">
        <f t="shared" si="44"/>
        <v>#N/A</v>
      </c>
      <c r="AV189" t="e">
        <f t="shared" si="44"/>
        <v>#N/A</v>
      </c>
      <c r="AW189" t="e">
        <f t="shared" si="44"/>
        <v>#N/A</v>
      </c>
      <c r="AX189" t="e">
        <f t="shared" si="44"/>
        <v>#N/A</v>
      </c>
      <c r="AY189" t="e">
        <f t="shared" si="44"/>
        <v>#N/A</v>
      </c>
      <c r="AZ189" s="13" t="e">
        <f t="shared" si="44"/>
        <v>#N/A</v>
      </c>
      <c r="BB189">
        <v>1104</v>
      </c>
    </row>
    <row r="190" spans="2:54" x14ac:dyDescent="0.45">
      <c r="B190" s="7">
        <v>13</v>
      </c>
      <c r="C190" s="13">
        <v>173</v>
      </c>
      <c r="D190">
        <v>5</v>
      </c>
      <c r="E190">
        <v>1</v>
      </c>
      <c r="F190">
        <f t="shared" si="34"/>
        <v>1</v>
      </c>
      <c r="G190">
        <v>159</v>
      </c>
      <c r="H190" s="13">
        <f t="shared" si="41"/>
        <v>155</v>
      </c>
      <c r="I190">
        <f t="shared" si="37"/>
        <v>439</v>
      </c>
      <c r="J190">
        <f t="shared" si="35"/>
        <v>443</v>
      </c>
      <c r="K190">
        <f t="shared" si="38"/>
        <v>0</v>
      </c>
      <c r="L190">
        <f t="shared" si="39"/>
        <v>155</v>
      </c>
      <c r="M190" s="13" t="str">
        <f t="shared" si="43"/>
        <v/>
      </c>
      <c r="N190">
        <f t="shared" si="36"/>
        <v>0</v>
      </c>
      <c r="AT190" s="12" t="e">
        <f t="shared" si="44"/>
        <v>#N/A</v>
      </c>
      <c r="AU190" t="e">
        <f t="shared" si="44"/>
        <v>#N/A</v>
      </c>
      <c r="AV190" t="e">
        <f t="shared" si="44"/>
        <v>#N/A</v>
      </c>
      <c r="AW190" t="e">
        <f t="shared" si="44"/>
        <v>#N/A</v>
      </c>
      <c r="AX190" t="e">
        <f t="shared" si="44"/>
        <v>#N/A</v>
      </c>
      <c r="AY190" t="e">
        <f t="shared" si="44"/>
        <v>#N/A</v>
      </c>
      <c r="AZ190" s="13" t="e">
        <f t="shared" si="44"/>
        <v>#N/A</v>
      </c>
      <c r="BB190">
        <v>1108</v>
      </c>
    </row>
    <row r="191" spans="2:54" x14ac:dyDescent="0.45">
      <c r="B191" s="7">
        <v>13</v>
      </c>
      <c r="C191" s="13">
        <v>174</v>
      </c>
      <c r="D191">
        <v>6</v>
      </c>
      <c r="E191">
        <v>0</v>
      </c>
      <c r="F191">
        <f t="shared" si="34"/>
        <v>0</v>
      </c>
      <c r="G191">
        <v>0</v>
      </c>
      <c r="H191" s="13">
        <f t="shared" si="41"/>
        <v>0</v>
      </c>
      <c r="I191">
        <f t="shared" si="37"/>
        <v>443</v>
      </c>
      <c r="J191">
        <f t="shared" si="35"/>
        <v>443</v>
      </c>
      <c r="K191">
        <f t="shared" si="38"/>
        <v>0</v>
      </c>
      <c r="L191" t="str">
        <f t="shared" si="39"/>
        <v/>
      </c>
      <c r="M191" s="13" t="str">
        <f t="shared" si="43"/>
        <v/>
      </c>
      <c r="N191">
        <f t="shared" si="36"/>
        <v>0</v>
      </c>
      <c r="AT191" s="12" t="e">
        <f t="shared" si="44"/>
        <v>#N/A</v>
      </c>
      <c r="AU191" t="e">
        <f t="shared" si="44"/>
        <v>#N/A</v>
      </c>
      <c r="AV191" t="e">
        <f t="shared" si="44"/>
        <v>#N/A</v>
      </c>
      <c r="AW191" t="e">
        <f t="shared" si="44"/>
        <v>#N/A</v>
      </c>
      <c r="AX191" t="e">
        <f t="shared" si="44"/>
        <v>#N/A</v>
      </c>
      <c r="AY191" t="e">
        <f t="shared" si="44"/>
        <v>#N/A</v>
      </c>
      <c r="AZ191" s="13" t="e">
        <f t="shared" si="44"/>
        <v>#N/A</v>
      </c>
      <c r="BB191">
        <v>953</v>
      </c>
    </row>
    <row r="192" spans="2:54" x14ac:dyDescent="0.45">
      <c r="B192" s="7">
        <v>13</v>
      </c>
      <c r="C192" s="13">
        <v>175</v>
      </c>
      <c r="D192" s="15">
        <v>7</v>
      </c>
      <c r="E192" s="15">
        <v>0</v>
      </c>
      <c r="F192">
        <f t="shared" si="34"/>
        <v>0</v>
      </c>
      <c r="G192" s="15">
        <v>0</v>
      </c>
      <c r="H192" s="13">
        <f t="shared" si="41"/>
        <v>0</v>
      </c>
      <c r="I192">
        <f t="shared" si="37"/>
        <v>443</v>
      </c>
      <c r="J192">
        <f t="shared" si="35"/>
        <v>443</v>
      </c>
      <c r="K192">
        <f t="shared" si="38"/>
        <v>0</v>
      </c>
      <c r="L192" t="str">
        <f t="shared" si="39"/>
        <v/>
      </c>
      <c r="M192" s="13" t="str">
        <f t="shared" si="43"/>
        <v/>
      </c>
      <c r="N192">
        <f t="shared" si="36"/>
        <v>-5</v>
      </c>
      <c r="AT192" s="12" t="e">
        <f t="shared" si="44"/>
        <v>#N/A</v>
      </c>
      <c r="AU192" t="e">
        <f t="shared" si="44"/>
        <v>#N/A</v>
      </c>
      <c r="AV192" t="e">
        <f t="shared" si="44"/>
        <v>#N/A</v>
      </c>
      <c r="AW192" t="e">
        <f t="shared" si="44"/>
        <v>#N/A</v>
      </c>
      <c r="AX192" t="e">
        <f t="shared" si="44"/>
        <v>#N/A</v>
      </c>
      <c r="AY192" t="e">
        <f t="shared" si="44"/>
        <v>#N/A</v>
      </c>
      <c r="AZ192" s="13" t="e">
        <f t="shared" si="44"/>
        <v>#N/A</v>
      </c>
      <c r="BB192">
        <v>953</v>
      </c>
    </row>
    <row r="193" spans="2:54" x14ac:dyDescent="0.45">
      <c r="B193" s="7">
        <v>13</v>
      </c>
      <c r="C193" s="13">
        <v>176</v>
      </c>
      <c r="D193" s="8">
        <v>1</v>
      </c>
      <c r="E193" s="8">
        <v>1</v>
      </c>
      <c r="F193">
        <f t="shared" si="34"/>
        <v>1</v>
      </c>
      <c r="G193" s="8">
        <v>150</v>
      </c>
      <c r="H193" s="13">
        <f t="shared" si="41"/>
        <v>155</v>
      </c>
      <c r="I193">
        <f t="shared" si="37"/>
        <v>443</v>
      </c>
      <c r="J193">
        <f t="shared" si="35"/>
        <v>438</v>
      </c>
      <c r="K193">
        <f t="shared" si="38"/>
        <v>0</v>
      </c>
      <c r="L193">
        <f t="shared" si="39"/>
        <v>155</v>
      </c>
      <c r="M193" s="13" t="str">
        <f t="shared" si="43"/>
        <v/>
      </c>
      <c r="N193">
        <f t="shared" si="36"/>
        <v>2</v>
      </c>
      <c r="AT193" s="12" t="e">
        <f t="shared" si="44"/>
        <v>#N/A</v>
      </c>
      <c r="AU193" t="e">
        <f t="shared" si="44"/>
        <v>#N/A</v>
      </c>
      <c r="AV193" t="e">
        <f t="shared" si="44"/>
        <v>#N/A</v>
      </c>
      <c r="AW193" t="e">
        <f t="shared" si="44"/>
        <v>#N/A</v>
      </c>
      <c r="AX193" t="e">
        <f t="shared" si="44"/>
        <v>#N/A</v>
      </c>
      <c r="AY193" t="e">
        <f t="shared" si="44"/>
        <v>#N/A</v>
      </c>
      <c r="AZ193" s="13" t="e">
        <f t="shared" si="44"/>
        <v>#N/A</v>
      </c>
      <c r="BB193">
        <v>948</v>
      </c>
    </row>
    <row r="194" spans="2:54" x14ac:dyDescent="0.45">
      <c r="B194" s="7">
        <v>13</v>
      </c>
      <c r="C194" s="13">
        <v>177</v>
      </c>
      <c r="D194">
        <v>2</v>
      </c>
      <c r="E194">
        <v>1</v>
      </c>
      <c r="F194">
        <f t="shared" si="34"/>
        <v>1</v>
      </c>
      <c r="G194">
        <v>157</v>
      </c>
      <c r="H194" s="13">
        <f t="shared" si="41"/>
        <v>155</v>
      </c>
      <c r="I194">
        <f t="shared" si="37"/>
        <v>438</v>
      </c>
      <c r="J194">
        <f t="shared" si="35"/>
        <v>440</v>
      </c>
      <c r="K194">
        <f t="shared" si="38"/>
        <v>0</v>
      </c>
      <c r="L194">
        <f t="shared" si="39"/>
        <v>155</v>
      </c>
      <c r="M194" s="13" t="str">
        <f t="shared" si="43"/>
        <v/>
      </c>
      <c r="N194">
        <f t="shared" si="36"/>
        <v>2</v>
      </c>
      <c r="AT194" s="12" t="e">
        <f t="shared" ref="AT194:AZ209" si="45">IF($B194=AT$17,$J194,NA())</f>
        <v>#N/A</v>
      </c>
      <c r="AU194" t="e">
        <f t="shared" si="45"/>
        <v>#N/A</v>
      </c>
      <c r="AV194" t="e">
        <f t="shared" si="45"/>
        <v>#N/A</v>
      </c>
      <c r="AW194" t="e">
        <f t="shared" si="45"/>
        <v>#N/A</v>
      </c>
      <c r="AX194" t="e">
        <f t="shared" si="45"/>
        <v>#N/A</v>
      </c>
      <c r="AY194" t="e">
        <f t="shared" si="45"/>
        <v>#N/A</v>
      </c>
      <c r="AZ194" s="13" t="e">
        <f t="shared" si="45"/>
        <v>#N/A</v>
      </c>
      <c r="BB194">
        <v>950</v>
      </c>
    </row>
    <row r="195" spans="2:54" x14ac:dyDescent="0.45">
      <c r="B195" s="7">
        <v>13</v>
      </c>
      <c r="C195" s="13">
        <v>178</v>
      </c>
      <c r="D195">
        <v>3</v>
      </c>
      <c r="E195">
        <v>1</v>
      </c>
      <c r="F195">
        <f t="shared" si="34"/>
        <v>1</v>
      </c>
      <c r="G195">
        <v>157</v>
      </c>
      <c r="H195" s="13">
        <f t="shared" si="41"/>
        <v>155</v>
      </c>
      <c r="I195">
        <f t="shared" si="37"/>
        <v>440</v>
      </c>
      <c r="J195">
        <f t="shared" si="35"/>
        <v>442</v>
      </c>
      <c r="K195">
        <f t="shared" si="38"/>
        <v>0</v>
      </c>
      <c r="L195">
        <f t="shared" si="39"/>
        <v>155</v>
      </c>
      <c r="M195" s="13" t="str">
        <f t="shared" si="43"/>
        <v/>
      </c>
      <c r="N195">
        <f t="shared" si="36"/>
        <v>1</v>
      </c>
      <c r="AT195" s="12" t="e">
        <f t="shared" si="45"/>
        <v>#N/A</v>
      </c>
      <c r="AU195" t="e">
        <f t="shared" si="45"/>
        <v>#N/A</v>
      </c>
      <c r="AV195" t="e">
        <f t="shared" si="45"/>
        <v>#N/A</v>
      </c>
      <c r="AW195" t="e">
        <f t="shared" si="45"/>
        <v>#N/A</v>
      </c>
      <c r="AX195" t="e">
        <f t="shared" si="45"/>
        <v>#N/A</v>
      </c>
      <c r="AY195" t="e">
        <f t="shared" si="45"/>
        <v>#N/A</v>
      </c>
      <c r="AZ195" s="13" t="e">
        <f t="shared" si="45"/>
        <v>#N/A</v>
      </c>
      <c r="BB195">
        <v>952</v>
      </c>
    </row>
    <row r="196" spans="2:54" x14ac:dyDescent="0.45">
      <c r="B196" s="7">
        <v>13</v>
      </c>
      <c r="C196" s="13">
        <v>179</v>
      </c>
      <c r="D196">
        <v>4</v>
      </c>
      <c r="E196">
        <v>1</v>
      </c>
      <c r="F196">
        <f t="shared" si="34"/>
        <v>1</v>
      </c>
      <c r="G196">
        <v>156</v>
      </c>
      <c r="H196" s="13">
        <f t="shared" si="41"/>
        <v>155</v>
      </c>
      <c r="I196">
        <f t="shared" si="37"/>
        <v>442</v>
      </c>
      <c r="J196">
        <f t="shared" si="35"/>
        <v>443</v>
      </c>
      <c r="K196">
        <f t="shared" si="38"/>
        <v>0</v>
      </c>
      <c r="L196">
        <f t="shared" si="39"/>
        <v>155</v>
      </c>
      <c r="M196" s="13" t="str">
        <f t="shared" si="43"/>
        <v/>
      </c>
      <c r="N196">
        <f t="shared" si="36"/>
        <v>-3</v>
      </c>
      <c r="AT196" s="12" t="e">
        <f t="shared" si="45"/>
        <v>#N/A</v>
      </c>
      <c r="AU196" t="e">
        <f t="shared" si="45"/>
        <v>#N/A</v>
      </c>
      <c r="AV196" t="e">
        <f t="shared" si="45"/>
        <v>#N/A</v>
      </c>
      <c r="AW196" t="e">
        <f t="shared" si="45"/>
        <v>#N/A</v>
      </c>
      <c r="AX196" t="e">
        <f t="shared" si="45"/>
        <v>#N/A</v>
      </c>
      <c r="AY196" t="e">
        <f t="shared" si="45"/>
        <v>#N/A</v>
      </c>
      <c r="AZ196" s="13" t="e">
        <f t="shared" si="45"/>
        <v>#N/A</v>
      </c>
      <c r="BB196">
        <v>953</v>
      </c>
    </row>
    <row r="197" spans="2:54" x14ac:dyDescent="0.45">
      <c r="B197" s="7">
        <v>13</v>
      </c>
      <c r="C197" s="13">
        <v>180</v>
      </c>
      <c r="D197">
        <v>5</v>
      </c>
      <c r="E197">
        <v>1</v>
      </c>
      <c r="F197">
        <f t="shared" si="34"/>
        <v>1</v>
      </c>
      <c r="G197">
        <v>152</v>
      </c>
      <c r="H197" s="13">
        <f t="shared" si="41"/>
        <v>155</v>
      </c>
      <c r="I197">
        <f t="shared" si="37"/>
        <v>443</v>
      </c>
      <c r="J197">
        <f t="shared" si="35"/>
        <v>440</v>
      </c>
      <c r="K197">
        <f t="shared" si="38"/>
        <v>0</v>
      </c>
      <c r="L197">
        <f t="shared" si="39"/>
        <v>155</v>
      </c>
      <c r="M197" s="13" t="str">
        <f t="shared" si="43"/>
        <v/>
      </c>
      <c r="N197">
        <f t="shared" si="36"/>
        <v>0</v>
      </c>
      <c r="AT197" s="12" t="e">
        <f t="shared" si="45"/>
        <v>#N/A</v>
      </c>
      <c r="AU197" t="e">
        <f t="shared" si="45"/>
        <v>#N/A</v>
      </c>
      <c r="AV197" t="e">
        <f t="shared" si="45"/>
        <v>#N/A</v>
      </c>
      <c r="AW197" t="e">
        <f t="shared" si="45"/>
        <v>#N/A</v>
      </c>
      <c r="AX197" t="e">
        <f t="shared" si="45"/>
        <v>#N/A</v>
      </c>
      <c r="AY197" t="e">
        <f t="shared" si="45"/>
        <v>#N/A</v>
      </c>
      <c r="AZ197" s="13" t="e">
        <f t="shared" si="45"/>
        <v>#N/A</v>
      </c>
      <c r="BB197">
        <v>950</v>
      </c>
    </row>
    <row r="198" spans="2:54" x14ac:dyDescent="0.45">
      <c r="B198" s="7">
        <v>13</v>
      </c>
      <c r="C198" s="13">
        <v>181</v>
      </c>
      <c r="D198">
        <v>6</v>
      </c>
      <c r="E198">
        <v>0</v>
      </c>
      <c r="F198">
        <f t="shared" si="34"/>
        <v>0</v>
      </c>
      <c r="G198">
        <v>0</v>
      </c>
      <c r="H198" s="13">
        <f t="shared" si="41"/>
        <v>0</v>
      </c>
      <c r="I198">
        <f t="shared" si="37"/>
        <v>440</v>
      </c>
      <c r="J198">
        <f t="shared" si="35"/>
        <v>440</v>
      </c>
      <c r="K198">
        <f t="shared" si="38"/>
        <v>0</v>
      </c>
      <c r="L198" t="str">
        <f t="shared" si="39"/>
        <v/>
      </c>
      <c r="M198" s="13" t="str">
        <f t="shared" si="43"/>
        <v/>
      </c>
      <c r="N198">
        <f t="shared" si="36"/>
        <v>0</v>
      </c>
      <c r="AT198" s="12" t="e">
        <f t="shared" si="45"/>
        <v>#N/A</v>
      </c>
      <c r="AU198" t="e">
        <f t="shared" si="45"/>
        <v>#N/A</v>
      </c>
      <c r="AV198" t="e">
        <f t="shared" si="45"/>
        <v>#N/A</v>
      </c>
      <c r="AW198" t="e">
        <f t="shared" si="45"/>
        <v>#N/A</v>
      </c>
      <c r="AX198" t="e">
        <f t="shared" si="45"/>
        <v>#N/A</v>
      </c>
      <c r="AY198" t="e">
        <f t="shared" si="45"/>
        <v>#N/A</v>
      </c>
      <c r="AZ198" s="13" t="e">
        <f t="shared" si="45"/>
        <v>#N/A</v>
      </c>
      <c r="BB198">
        <v>795</v>
      </c>
    </row>
    <row r="199" spans="2:54" x14ac:dyDescent="0.45">
      <c r="B199" s="7">
        <v>13</v>
      </c>
      <c r="C199" s="13">
        <v>182</v>
      </c>
      <c r="D199" s="15">
        <v>7</v>
      </c>
      <c r="E199" s="15">
        <v>0</v>
      </c>
      <c r="F199">
        <f t="shared" si="34"/>
        <v>0</v>
      </c>
      <c r="G199" s="15">
        <v>0</v>
      </c>
      <c r="H199" s="13">
        <f t="shared" si="41"/>
        <v>0</v>
      </c>
      <c r="I199">
        <f t="shared" si="37"/>
        <v>440</v>
      </c>
      <c r="J199">
        <f t="shared" si="35"/>
        <v>440</v>
      </c>
      <c r="K199">
        <f t="shared" si="38"/>
        <v>0</v>
      </c>
      <c r="L199" t="str">
        <f t="shared" si="39"/>
        <v/>
      </c>
      <c r="M199" s="13">
        <f t="shared" si="43"/>
        <v>116</v>
      </c>
      <c r="N199">
        <f t="shared" si="36"/>
        <v>-28</v>
      </c>
      <c r="AT199" s="12" t="e">
        <f t="shared" si="45"/>
        <v>#N/A</v>
      </c>
      <c r="AU199" t="e">
        <f t="shared" si="45"/>
        <v>#N/A</v>
      </c>
      <c r="AV199" t="e">
        <f t="shared" si="45"/>
        <v>#N/A</v>
      </c>
      <c r="AW199" t="e">
        <f t="shared" si="45"/>
        <v>#N/A</v>
      </c>
      <c r="AX199" t="e">
        <f t="shared" si="45"/>
        <v>#N/A</v>
      </c>
      <c r="AY199" t="e">
        <f t="shared" si="45"/>
        <v>#N/A</v>
      </c>
      <c r="AZ199" s="13" t="e">
        <f t="shared" si="45"/>
        <v>#N/A</v>
      </c>
      <c r="BB199">
        <v>795</v>
      </c>
    </row>
    <row r="200" spans="2:54" x14ac:dyDescent="0.45">
      <c r="B200" s="11">
        <v>14</v>
      </c>
      <c r="C200" s="13">
        <v>183</v>
      </c>
      <c r="D200" s="8">
        <v>1</v>
      </c>
      <c r="E200" s="8">
        <v>1</v>
      </c>
      <c r="F200">
        <f t="shared" si="34"/>
        <v>1</v>
      </c>
      <c r="G200" s="8">
        <v>127</v>
      </c>
      <c r="H200" s="13">
        <f t="shared" si="41"/>
        <v>155</v>
      </c>
      <c r="I200">
        <f t="shared" si="37"/>
        <v>440</v>
      </c>
      <c r="J200">
        <f t="shared" si="35"/>
        <v>412</v>
      </c>
      <c r="K200">
        <f t="shared" si="38"/>
        <v>0</v>
      </c>
      <c r="L200">
        <f t="shared" si="39"/>
        <v>155</v>
      </c>
      <c r="M200" s="13" t="str">
        <f t="shared" si="43"/>
        <v/>
      </c>
      <c r="N200">
        <f t="shared" si="36"/>
        <v>-29</v>
      </c>
      <c r="AT200" s="12" t="e">
        <f t="shared" si="45"/>
        <v>#N/A</v>
      </c>
      <c r="AU200" t="e">
        <f t="shared" si="45"/>
        <v>#N/A</v>
      </c>
      <c r="AV200" t="e">
        <f t="shared" si="45"/>
        <v>#N/A</v>
      </c>
      <c r="AW200" t="e">
        <f t="shared" si="45"/>
        <v>#N/A</v>
      </c>
      <c r="AX200" t="e">
        <f t="shared" si="45"/>
        <v>#N/A</v>
      </c>
      <c r="AY200" t="e">
        <f t="shared" si="45"/>
        <v>#N/A</v>
      </c>
      <c r="AZ200" s="13" t="e">
        <f t="shared" si="45"/>
        <v>#N/A</v>
      </c>
      <c r="BB200">
        <v>767</v>
      </c>
    </row>
    <row r="201" spans="2:54" x14ac:dyDescent="0.45">
      <c r="B201" s="11">
        <v>14</v>
      </c>
      <c r="C201" s="13">
        <v>184</v>
      </c>
      <c r="D201">
        <v>2</v>
      </c>
      <c r="E201">
        <v>1</v>
      </c>
      <c r="F201">
        <f t="shared" si="34"/>
        <v>1</v>
      </c>
      <c r="G201">
        <v>126</v>
      </c>
      <c r="H201" s="13">
        <f t="shared" si="41"/>
        <v>155</v>
      </c>
      <c r="I201">
        <f t="shared" si="37"/>
        <v>412</v>
      </c>
      <c r="J201">
        <f t="shared" si="35"/>
        <v>383</v>
      </c>
      <c r="K201">
        <f t="shared" si="38"/>
        <v>0</v>
      </c>
      <c r="L201">
        <f t="shared" si="39"/>
        <v>155</v>
      </c>
      <c r="M201" s="13" t="str">
        <f t="shared" si="43"/>
        <v/>
      </c>
      <c r="N201">
        <f t="shared" si="36"/>
        <v>-26</v>
      </c>
      <c r="AT201" s="12" t="e">
        <f t="shared" si="45"/>
        <v>#N/A</v>
      </c>
      <c r="AU201" t="e">
        <f t="shared" si="45"/>
        <v>#N/A</v>
      </c>
      <c r="AV201" t="e">
        <f t="shared" si="45"/>
        <v>#N/A</v>
      </c>
      <c r="AW201" t="e">
        <f t="shared" si="45"/>
        <v>#N/A</v>
      </c>
      <c r="AX201" t="e">
        <f t="shared" si="45"/>
        <v>#N/A</v>
      </c>
      <c r="AY201" t="e">
        <f t="shared" si="45"/>
        <v>#N/A</v>
      </c>
      <c r="AZ201" s="13" t="e">
        <f t="shared" si="45"/>
        <v>#N/A</v>
      </c>
      <c r="BB201">
        <v>738</v>
      </c>
    </row>
    <row r="202" spans="2:54" x14ac:dyDescent="0.45">
      <c r="B202" s="11">
        <v>14</v>
      </c>
      <c r="C202" s="13">
        <v>185</v>
      </c>
      <c r="D202">
        <v>3</v>
      </c>
      <c r="E202">
        <v>1</v>
      </c>
      <c r="F202">
        <f t="shared" si="34"/>
        <v>1</v>
      </c>
      <c r="G202">
        <v>129</v>
      </c>
      <c r="H202" s="13">
        <f t="shared" si="41"/>
        <v>155</v>
      </c>
      <c r="I202">
        <f t="shared" si="37"/>
        <v>383</v>
      </c>
      <c r="J202">
        <f t="shared" si="35"/>
        <v>357</v>
      </c>
      <c r="K202">
        <f t="shared" si="38"/>
        <v>0</v>
      </c>
      <c r="L202">
        <f t="shared" si="39"/>
        <v>155</v>
      </c>
      <c r="M202" s="13" t="str">
        <f t="shared" si="43"/>
        <v/>
      </c>
      <c r="N202">
        <f t="shared" si="36"/>
        <v>-29</v>
      </c>
      <c r="AT202" s="12" t="e">
        <f t="shared" si="45"/>
        <v>#N/A</v>
      </c>
      <c r="AU202" t="e">
        <f t="shared" si="45"/>
        <v>#N/A</v>
      </c>
      <c r="AV202" t="e">
        <f t="shared" si="45"/>
        <v>#N/A</v>
      </c>
      <c r="AW202" t="e">
        <f t="shared" si="45"/>
        <v>#N/A</v>
      </c>
      <c r="AX202" t="e">
        <f t="shared" si="45"/>
        <v>#N/A</v>
      </c>
      <c r="AY202" t="e">
        <f t="shared" si="45"/>
        <v>#N/A</v>
      </c>
      <c r="AZ202" s="13" t="e">
        <f t="shared" si="45"/>
        <v>#N/A</v>
      </c>
      <c r="BB202">
        <v>712</v>
      </c>
    </row>
    <row r="203" spans="2:54" x14ac:dyDescent="0.45">
      <c r="B203" s="11">
        <v>14</v>
      </c>
      <c r="C203" s="13">
        <v>186</v>
      </c>
      <c r="D203">
        <v>4</v>
      </c>
      <c r="E203">
        <v>1</v>
      </c>
      <c r="F203">
        <f t="shared" si="34"/>
        <v>1</v>
      </c>
      <c r="G203">
        <v>126</v>
      </c>
      <c r="H203" s="13">
        <f t="shared" si="41"/>
        <v>155</v>
      </c>
      <c r="I203">
        <f t="shared" si="37"/>
        <v>357</v>
      </c>
      <c r="J203">
        <f t="shared" si="35"/>
        <v>328</v>
      </c>
      <c r="K203">
        <f t="shared" si="38"/>
        <v>0</v>
      </c>
      <c r="L203">
        <f t="shared" si="39"/>
        <v>155</v>
      </c>
      <c r="M203" s="13" t="str">
        <f t="shared" si="43"/>
        <v/>
      </c>
      <c r="N203">
        <f t="shared" si="36"/>
        <v>-27</v>
      </c>
      <c r="AT203" s="12" t="e">
        <f t="shared" si="45"/>
        <v>#N/A</v>
      </c>
      <c r="AU203" t="e">
        <f t="shared" si="45"/>
        <v>#N/A</v>
      </c>
      <c r="AV203" t="e">
        <f t="shared" si="45"/>
        <v>#N/A</v>
      </c>
      <c r="AW203" t="e">
        <f t="shared" si="45"/>
        <v>#N/A</v>
      </c>
      <c r="AX203" t="e">
        <f t="shared" si="45"/>
        <v>#N/A</v>
      </c>
      <c r="AY203" t="e">
        <f t="shared" si="45"/>
        <v>#N/A</v>
      </c>
      <c r="AZ203" s="13" t="e">
        <f t="shared" si="45"/>
        <v>#N/A</v>
      </c>
      <c r="BB203">
        <v>683</v>
      </c>
    </row>
    <row r="204" spans="2:54" x14ac:dyDescent="0.45">
      <c r="B204" s="11">
        <v>14</v>
      </c>
      <c r="C204" s="13">
        <v>187</v>
      </c>
      <c r="D204">
        <v>5</v>
      </c>
      <c r="E204">
        <v>1</v>
      </c>
      <c r="F204">
        <f t="shared" si="34"/>
        <v>1</v>
      </c>
      <c r="G204">
        <v>128</v>
      </c>
      <c r="H204" s="13">
        <f t="shared" si="41"/>
        <v>155</v>
      </c>
      <c r="I204">
        <f t="shared" si="37"/>
        <v>328</v>
      </c>
      <c r="J204">
        <f t="shared" si="35"/>
        <v>301</v>
      </c>
      <c r="K204">
        <f t="shared" si="38"/>
        <v>0</v>
      </c>
      <c r="L204">
        <f t="shared" si="39"/>
        <v>155</v>
      </c>
      <c r="M204" s="13" t="str">
        <f t="shared" si="43"/>
        <v/>
      </c>
      <c r="N204">
        <f t="shared" si="36"/>
        <v>-155</v>
      </c>
      <c r="AT204" s="12" t="e">
        <f t="shared" si="45"/>
        <v>#N/A</v>
      </c>
      <c r="AU204" t="e">
        <f t="shared" si="45"/>
        <v>#N/A</v>
      </c>
      <c r="AV204" t="e">
        <f t="shared" si="45"/>
        <v>#N/A</v>
      </c>
      <c r="AW204" t="e">
        <f t="shared" si="45"/>
        <v>#N/A</v>
      </c>
      <c r="AX204" t="e">
        <f t="shared" si="45"/>
        <v>#N/A</v>
      </c>
      <c r="AY204" t="e">
        <f t="shared" si="45"/>
        <v>#N/A</v>
      </c>
      <c r="AZ204" s="13" t="e">
        <f t="shared" si="45"/>
        <v>#N/A</v>
      </c>
      <c r="BB204">
        <v>656</v>
      </c>
    </row>
    <row r="205" spans="2:54" x14ac:dyDescent="0.45">
      <c r="B205" s="11">
        <v>14</v>
      </c>
      <c r="C205" s="13">
        <v>188</v>
      </c>
      <c r="D205">
        <v>6</v>
      </c>
      <c r="E205">
        <v>0</v>
      </c>
      <c r="F205">
        <f t="shared" si="34"/>
        <v>1</v>
      </c>
      <c r="G205">
        <v>0</v>
      </c>
      <c r="H205" s="13">
        <f t="shared" si="41"/>
        <v>155</v>
      </c>
      <c r="I205">
        <f t="shared" si="37"/>
        <v>301</v>
      </c>
      <c r="J205">
        <f t="shared" si="35"/>
        <v>146</v>
      </c>
      <c r="K205">
        <f t="shared" si="38"/>
        <v>0</v>
      </c>
      <c r="L205">
        <f t="shared" si="39"/>
        <v>155</v>
      </c>
      <c r="M205" s="13" t="str">
        <f t="shared" si="43"/>
        <v/>
      </c>
      <c r="N205">
        <f t="shared" si="36"/>
        <v>0</v>
      </c>
      <c r="AT205" s="12" t="e">
        <f t="shared" si="45"/>
        <v>#N/A</v>
      </c>
      <c r="AU205" t="e">
        <f t="shared" si="45"/>
        <v>#N/A</v>
      </c>
      <c r="AV205" t="e">
        <f t="shared" si="45"/>
        <v>#N/A</v>
      </c>
      <c r="AW205" t="e">
        <f t="shared" si="45"/>
        <v>#N/A</v>
      </c>
      <c r="AX205" t="e">
        <f t="shared" si="45"/>
        <v>#N/A</v>
      </c>
      <c r="AY205" t="e">
        <f t="shared" si="45"/>
        <v>#N/A</v>
      </c>
      <c r="AZ205" s="13" t="e">
        <f t="shared" si="45"/>
        <v>#N/A</v>
      </c>
      <c r="BB205">
        <v>501</v>
      </c>
    </row>
    <row r="206" spans="2:54" x14ac:dyDescent="0.45">
      <c r="B206" s="11">
        <v>14</v>
      </c>
      <c r="C206" s="13">
        <v>189</v>
      </c>
      <c r="D206" s="15">
        <v>7</v>
      </c>
      <c r="E206" s="15">
        <v>0</v>
      </c>
      <c r="F206">
        <f t="shared" si="34"/>
        <v>0</v>
      </c>
      <c r="G206" s="15">
        <v>0</v>
      </c>
      <c r="H206" s="13">
        <f t="shared" si="41"/>
        <v>0</v>
      </c>
      <c r="I206">
        <f t="shared" si="37"/>
        <v>146</v>
      </c>
      <c r="J206">
        <f t="shared" si="35"/>
        <v>146</v>
      </c>
      <c r="K206">
        <f t="shared" si="38"/>
        <v>0</v>
      </c>
      <c r="L206" t="str">
        <f t="shared" si="39"/>
        <v/>
      </c>
      <c r="M206" s="13" t="str">
        <f t="shared" si="43"/>
        <v/>
      </c>
      <c r="N206">
        <f t="shared" si="36"/>
        <v>-19</v>
      </c>
      <c r="AT206" s="12" t="e">
        <f t="shared" si="45"/>
        <v>#N/A</v>
      </c>
      <c r="AU206" t="e">
        <f t="shared" si="45"/>
        <v>#N/A</v>
      </c>
      <c r="AV206" t="e">
        <f t="shared" si="45"/>
        <v>#N/A</v>
      </c>
      <c r="AW206" t="e">
        <f t="shared" si="45"/>
        <v>#N/A</v>
      </c>
      <c r="AX206" t="e">
        <f t="shared" si="45"/>
        <v>#N/A</v>
      </c>
      <c r="AY206" t="e">
        <f t="shared" si="45"/>
        <v>#N/A</v>
      </c>
      <c r="AZ206" s="13" t="e">
        <f t="shared" si="45"/>
        <v>#N/A</v>
      </c>
      <c r="BB206">
        <v>501</v>
      </c>
    </row>
    <row r="207" spans="2:54" x14ac:dyDescent="0.45">
      <c r="B207" s="11">
        <v>14</v>
      </c>
      <c r="C207" s="13">
        <v>190</v>
      </c>
      <c r="D207" s="8">
        <v>1</v>
      </c>
      <c r="E207" s="8">
        <v>1</v>
      </c>
      <c r="F207">
        <f t="shared" si="34"/>
        <v>1</v>
      </c>
      <c r="G207" s="8">
        <v>127</v>
      </c>
      <c r="H207" s="13">
        <f t="shared" si="41"/>
        <v>146</v>
      </c>
      <c r="I207">
        <f t="shared" si="37"/>
        <v>146</v>
      </c>
      <c r="J207">
        <f t="shared" si="35"/>
        <v>127</v>
      </c>
      <c r="K207">
        <f t="shared" si="38"/>
        <v>1</v>
      </c>
      <c r="L207" t="str">
        <f t="shared" si="39"/>
        <v/>
      </c>
      <c r="M207" s="13" t="str">
        <f t="shared" si="43"/>
        <v/>
      </c>
      <c r="N207">
        <f t="shared" si="36"/>
        <v>2</v>
      </c>
      <c r="AT207" s="12" t="e">
        <f t="shared" si="45"/>
        <v>#N/A</v>
      </c>
      <c r="AU207" t="e">
        <f t="shared" si="45"/>
        <v>#N/A</v>
      </c>
      <c r="AV207" t="e">
        <f t="shared" si="45"/>
        <v>#N/A</v>
      </c>
      <c r="AW207" t="e">
        <f t="shared" si="45"/>
        <v>#N/A</v>
      </c>
      <c r="AX207" t="e">
        <f t="shared" si="45"/>
        <v>#N/A</v>
      </c>
      <c r="AY207" t="e">
        <f t="shared" si="45"/>
        <v>#N/A</v>
      </c>
      <c r="AZ207" s="13" t="e">
        <f t="shared" si="45"/>
        <v>#N/A</v>
      </c>
      <c r="BB207">
        <v>473</v>
      </c>
    </row>
    <row r="208" spans="2:54" x14ac:dyDescent="0.45">
      <c r="B208" s="11">
        <v>14</v>
      </c>
      <c r="C208" s="13">
        <v>191</v>
      </c>
      <c r="D208">
        <v>2</v>
      </c>
      <c r="E208">
        <v>1</v>
      </c>
      <c r="F208">
        <f t="shared" si="34"/>
        <v>1</v>
      </c>
      <c r="G208">
        <v>129</v>
      </c>
      <c r="H208" s="13">
        <f t="shared" si="41"/>
        <v>127</v>
      </c>
      <c r="I208">
        <f t="shared" si="37"/>
        <v>127</v>
      </c>
      <c r="J208">
        <f t="shared" si="35"/>
        <v>129</v>
      </c>
      <c r="K208">
        <f t="shared" si="38"/>
        <v>1</v>
      </c>
      <c r="L208" t="str">
        <f t="shared" si="39"/>
        <v/>
      </c>
      <c r="M208" s="13" t="str">
        <f t="shared" si="43"/>
        <v/>
      </c>
      <c r="N208">
        <f t="shared" si="36"/>
        <v>-3</v>
      </c>
      <c r="AT208" s="12" t="e">
        <f t="shared" si="45"/>
        <v>#N/A</v>
      </c>
      <c r="AU208" t="e">
        <f t="shared" si="45"/>
        <v>#N/A</v>
      </c>
      <c r="AV208" t="e">
        <f t="shared" si="45"/>
        <v>#N/A</v>
      </c>
      <c r="AW208" t="e">
        <f t="shared" si="45"/>
        <v>#N/A</v>
      </c>
      <c r="AX208" t="e">
        <f t="shared" si="45"/>
        <v>#N/A</v>
      </c>
      <c r="AY208" t="e">
        <f t="shared" si="45"/>
        <v>#N/A</v>
      </c>
      <c r="AZ208" s="13" t="e">
        <f t="shared" si="45"/>
        <v>#N/A</v>
      </c>
      <c r="BB208">
        <v>447</v>
      </c>
    </row>
    <row r="209" spans="2:54" x14ac:dyDescent="0.45">
      <c r="B209" s="11">
        <v>14</v>
      </c>
      <c r="C209" s="13">
        <v>192</v>
      </c>
      <c r="D209">
        <v>3</v>
      </c>
      <c r="E209">
        <v>1</v>
      </c>
      <c r="F209">
        <f t="shared" si="34"/>
        <v>1</v>
      </c>
      <c r="G209">
        <v>126</v>
      </c>
      <c r="H209" s="13">
        <f t="shared" si="41"/>
        <v>129</v>
      </c>
      <c r="I209">
        <f t="shared" si="37"/>
        <v>129</v>
      </c>
      <c r="J209">
        <f t="shared" si="35"/>
        <v>126</v>
      </c>
      <c r="K209">
        <f t="shared" si="38"/>
        <v>1</v>
      </c>
      <c r="L209" t="str">
        <f t="shared" si="39"/>
        <v/>
      </c>
      <c r="M209" s="13" t="str">
        <f t="shared" si="43"/>
        <v/>
      </c>
      <c r="N209">
        <f t="shared" si="36"/>
        <v>-5</v>
      </c>
      <c r="AT209" s="12" t="e">
        <f t="shared" si="45"/>
        <v>#N/A</v>
      </c>
      <c r="AU209" t="e">
        <f t="shared" si="45"/>
        <v>#N/A</v>
      </c>
      <c r="AV209" t="e">
        <f t="shared" si="45"/>
        <v>#N/A</v>
      </c>
      <c r="AW209" t="e">
        <f t="shared" si="45"/>
        <v>#N/A</v>
      </c>
      <c r="AX209" t="e">
        <f t="shared" si="45"/>
        <v>#N/A</v>
      </c>
      <c r="AY209" t="e">
        <f t="shared" si="45"/>
        <v>#N/A</v>
      </c>
      <c r="AZ209" s="13" t="e">
        <f t="shared" si="45"/>
        <v>#N/A</v>
      </c>
      <c r="BB209">
        <v>418</v>
      </c>
    </row>
    <row r="210" spans="2:54" x14ac:dyDescent="0.45">
      <c r="B210" s="11">
        <v>14</v>
      </c>
      <c r="C210" s="13">
        <v>193</v>
      </c>
      <c r="D210">
        <v>4</v>
      </c>
      <c r="E210">
        <v>1</v>
      </c>
      <c r="F210">
        <f t="shared" si="34"/>
        <v>1</v>
      </c>
      <c r="G210">
        <v>121</v>
      </c>
      <c r="H210" s="13">
        <f t="shared" si="41"/>
        <v>126</v>
      </c>
      <c r="I210">
        <f t="shared" si="37"/>
        <v>126</v>
      </c>
      <c r="J210">
        <f t="shared" si="35"/>
        <v>121</v>
      </c>
      <c r="K210">
        <f t="shared" si="38"/>
        <v>1</v>
      </c>
      <c r="L210" t="str">
        <f t="shared" si="39"/>
        <v/>
      </c>
      <c r="M210" s="13" t="str">
        <f t="shared" si="43"/>
        <v/>
      </c>
      <c r="N210">
        <f t="shared" si="36"/>
        <v>7</v>
      </c>
      <c r="AT210" s="12" t="e">
        <f t="shared" ref="AT210:AZ213" si="46">IF($B210=AT$17,$J210,NA())</f>
        <v>#N/A</v>
      </c>
      <c r="AU210" t="e">
        <f t="shared" si="46"/>
        <v>#N/A</v>
      </c>
      <c r="AV210" t="e">
        <f t="shared" si="46"/>
        <v>#N/A</v>
      </c>
      <c r="AW210" t="e">
        <f t="shared" si="46"/>
        <v>#N/A</v>
      </c>
      <c r="AX210" t="e">
        <f t="shared" si="46"/>
        <v>#N/A</v>
      </c>
      <c r="AY210" t="e">
        <f t="shared" si="46"/>
        <v>#N/A</v>
      </c>
      <c r="AZ210" s="13" t="e">
        <f t="shared" si="46"/>
        <v>#N/A</v>
      </c>
      <c r="BB210">
        <v>384</v>
      </c>
    </row>
    <row r="211" spans="2:54" x14ac:dyDescent="0.45">
      <c r="B211" s="11">
        <v>14</v>
      </c>
      <c r="C211" s="13">
        <v>194</v>
      </c>
      <c r="D211">
        <v>5</v>
      </c>
      <c r="E211">
        <v>1</v>
      </c>
      <c r="F211">
        <f t="shared" ref="F211:F213" si="47">IF(D211&lt;=INDEX($C$2:$C$15,B211),1,0)</f>
        <v>1</v>
      </c>
      <c r="G211">
        <v>128</v>
      </c>
      <c r="H211" s="13">
        <f t="shared" si="41"/>
        <v>121</v>
      </c>
      <c r="I211">
        <f t="shared" si="37"/>
        <v>121</v>
      </c>
      <c r="J211">
        <f t="shared" ref="J211:J213" si="48">I211+G211-H211</f>
        <v>128</v>
      </c>
      <c r="K211">
        <f t="shared" si="38"/>
        <v>1</v>
      </c>
      <c r="L211" t="str">
        <f t="shared" si="39"/>
        <v/>
      </c>
      <c r="M211" s="13" t="str">
        <f t="shared" si="43"/>
        <v/>
      </c>
      <c r="N211">
        <f t="shared" ref="N211:N213" si="49">J212-J211</f>
        <v>-128</v>
      </c>
      <c r="AT211" s="12" t="e">
        <f t="shared" si="46"/>
        <v>#N/A</v>
      </c>
      <c r="AU211" t="e">
        <f t="shared" si="46"/>
        <v>#N/A</v>
      </c>
      <c r="AV211" t="e">
        <f t="shared" si="46"/>
        <v>#N/A</v>
      </c>
      <c r="AW211" t="e">
        <f t="shared" si="46"/>
        <v>#N/A</v>
      </c>
      <c r="AX211" t="e">
        <f t="shared" si="46"/>
        <v>#N/A</v>
      </c>
      <c r="AY211" t="e">
        <f t="shared" si="46"/>
        <v>#N/A</v>
      </c>
      <c r="AZ211" s="13" t="e">
        <f t="shared" si="46"/>
        <v>#N/A</v>
      </c>
      <c r="BB211">
        <v>357</v>
      </c>
    </row>
    <row r="212" spans="2:54" x14ac:dyDescent="0.45">
      <c r="B212" s="11">
        <v>14</v>
      </c>
      <c r="C212" s="13">
        <v>195</v>
      </c>
      <c r="D212">
        <v>6</v>
      </c>
      <c r="E212">
        <v>0</v>
      </c>
      <c r="F212">
        <f t="shared" si="47"/>
        <v>1</v>
      </c>
      <c r="G212">
        <v>0</v>
      </c>
      <c r="H212" s="13">
        <f t="shared" si="41"/>
        <v>128</v>
      </c>
      <c r="I212">
        <f t="shared" ref="I212:I213" si="50">J211</f>
        <v>128</v>
      </c>
      <c r="J212">
        <f t="shared" si="48"/>
        <v>0</v>
      </c>
      <c r="K212">
        <f t="shared" ref="K212:K213" si="51">IF(AND(H212=I212,F212=1),1,0)</f>
        <v>1</v>
      </c>
      <c r="L212" t="str">
        <f t="shared" ref="L212:L213" si="52">IF(OR(F212=0,K212=1),"",H212)</f>
        <v/>
      </c>
      <c r="M212" s="13" t="str">
        <f t="shared" si="43"/>
        <v/>
      </c>
      <c r="N212">
        <f t="shared" si="49"/>
        <v>0</v>
      </c>
      <c r="AT212" s="12" t="e">
        <f t="shared" si="46"/>
        <v>#N/A</v>
      </c>
      <c r="AU212" t="e">
        <f t="shared" si="46"/>
        <v>#N/A</v>
      </c>
      <c r="AV212" t="e">
        <f t="shared" si="46"/>
        <v>#N/A</v>
      </c>
      <c r="AW212" t="e">
        <f t="shared" si="46"/>
        <v>#N/A</v>
      </c>
      <c r="AX212" t="e">
        <f t="shared" si="46"/>
        <v>#N/A</v>
      </c>
      <c r="AY212" t="e">
        <f t="shared" si="46"/>
        <v>#N/A</v>
      </c>
      <c r="AZ212" s="13" t="e">
        <f t="shared" si="46"/>
        <v>#N/A</v>
      </c>
      <c r="BB212">
        <v>202</v>
      </c>
    </row>
    <row r="213" spans="2:54" x14ac:dyDescent="0.45">
      <c r="B213" s="11">
        <v>14</v>
      </c>
      <c r="C213" s="16">
        <v>196</v>
      </c>
      <c r="D213" s="15">
        <v>7</v>
      </c>
      <c r="E213" s="15">
        <v>0</v>
      </c>
      <c r="F213">
        <f t="shared" si="47"/>
        <v>0</v>
      </c>
      <c r="G213" s="15">
        <v>0</v>
      </c>
      <c r="H213" s="13">
        <f t="shared" si="41"/>
        <v>0</v>
      </c>
      <c r="I213">
        <f t="shared" si="50"/>
        <v>0</v>
      </c>
      <c r="J213">
        <f t="shared" si="48"/>
        <v>0</v>
      </c>
      <c r="K213" s="15">
        <f t="shared" si="51"/>
        <v>0</v>
      </c>
      <c r="L213" s="15" t="str">
        <f t="shared" si="52"/>
        <v/>
      </c>
      <c r="M213" s="16">
        <f t="shared" si="43"/>
        <v>-431</v>
      </c>
      <c r="N213">
        <f t="shared" si="49"/>
        <v>0</v>
      </c>
      <c r="AT213" s="14" t="e">
        <f t="shared" si="46"/>
        <v>#N/A</v>
      </c>
      <c r="AU213" s="15" t="e">
        <f t="shared" si="46"/>
        <v>#N/A</v>
      </c>
      <c r="AV213" s="15" t="e">
        <f t="shared" si="46"/>
        <v>#N/A</v>
      </c>
      <c r="AW213" s="15" t="e">
        <f t="shared" si="46"/>
        <v>#N/A</v>
      </c>
      <c r="AX213" s="15" t="e">
        <f t="shared" si="46"/>
        <v>#N/A</v>
      </c>
      <c r="AY213" s="15" t="e">
        <f t="shared" si="46"/>
        <v>#N/A</v>
      </c>
      <c r="AZ213" s="16" t="e">
        <f t="shared" si="46"/>
        <v>#N/A</v>
      </c>
      <c r="BB213">
        <v>202</v>
      </c>
    </row>
  </sheetData>
  <phoneticPr fontId="16" type="noConversion"/>
  <conditionalFormatting sqref="F18:F213">
    <cfRule type="cellIs" dxfId="13" priority="5" operator="equal">
      <formula>0</formula>
    </cfRule>
  </conditionalFormatting>
  <conditionalFormatting sqref="H18:H213">
    <cfRule type="cellIs" dxfId="12" priority="4" operator="equal">
      <formula>0</formula>
    </cfRule>
  </conditionalFormatting>
  <conditionalFormatting sqref="I18 D18:H213">
    <cfRule type="cellIs" dxfId="11" priority="3" operator="equal">
      <formula>0</formula>
    </cfRule>
  </conditionalFormatting>
  <conditionalFormatting sqref="E18:E185">
    <cfRule type="cellIs" dxfId="10" priority="7" operator="equal">
      <formula>0</formula>
    </cfRule>
  </conditionalFormatting>
  <conditionalFormatting sqref="G18:G185 H18:I18">
    <cfRule type="cellIs" dxfId="9" priority="6" operator="equal">
      <formula>0</formula>
    </cfRule>
  </conditionalFormatting>
  <conditionalFormatting sqref="P2:P15">
    <cfRule type="cellIs" dxfId="8" priority="2" operator="lessThan">
      <formula>0</formula>
    </cfRule>
  </conditionalFormatting>
  <conditionalFormatting sqref="K19:K213">
    <cfRule type="cellIs" dxfId="7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DAD9-DA55-40CF-82CF-2F8C04F88DDB}">
  <sheetPr codeName="Sheet3"/>
  <dimension ref="A1:BD206"/>
  <sheetViews>
    <sheetView workbookViewId="0">
      <selection activeCell="O3" sqref="O3"/>
    </sheetView>
  </sheetViews>
  <sheetFormatPr defaultRowHeight="14.25" x14ac:dyDescent="0.45"/>
  <cols>
    <col min="1" max="1" width="4.86328125" customWidth="1"/>
    <col min="14" max="14" width="20.33203125" customWidth="1"/>
    <col min="15" max="15" width="12" bestFit="1" customWidth="1"/>
    <col min="30" max="30" width="11.46484375" bestFit="1" customWidth="1"/>
  </cols>
  <sheetData>
    <row r="1" spans="1:56" ht="15.75" x14ac:dyDescent="0.55000000000000004">
      <c r="A1" s="1"/>
      <c r="B1" s="2" t="s">
        <v>0</v>
      </c>
      <c r="C1" s="1"/>
      <c r="D1" s="1"/>
      <c r="E1" s="1"/>
      <c r="F1" s="1"/>
      <c r="G1" s="1"/>
      <c r="H1" s="5" t="s">
        <v>51</v>
      </c>
      <c r="I1" s="1"/>
      <c r="J1" s="5" t="s">
        <v>48</v>
      </c>
      <c r="K1" s="1"/>
      <c r="L1" s="1"/>
      <c r="M1" s="1"/>
      <c r="N1" s="1"/>
      <c r="O1" s="1"/>
      <c r="P1" s="1"/>
      <c r="Q1" s="1"/>
      <c r="R1" s="1" t="s">
        <v>50</v>
      </c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8.25" customHeight="1" x14ac:dyDescent="0.45">
      <c r="A2" s="1"/>
      <c r="B2" s="1" t="s">
        <v>1</v>
      </c>
      <c r="C2" s="1"/>
      <c r="D2" s="1"/>
      <c r="E2" s="1"/>
      <c r="F2" s="1"/>
      <c r="G2" s="3" t="s">
        <v>52</v>
      </c>
      <c r="H2" s="75">
        <f>ROUND(AVERAGE(H11:H206),1)</f>
        <v>98.5</v>
      </c>
      <c r="I2" s="3" t="s">
        <v>53</v>
      </c>
      <c r="J2" s="55">
        <f>AVERAGE(J11:J206)</f>
        <v>486.78571428571428</v>
      </c>
      <c r="K2" s="3" t="s">
        <v>53</v>
      </c>
      <c r="L2" s="55">
        <f>AVERAGE(L11:L206)</f>
        <v>145.58974358974359</v>
      </c>
      <c r="M2" s="1"/>
      <c r="N2" s="51" t="s">
        <v>74</v>
      </c>
      <c r="O2" s="1">
        <f>ROUND(AVERAGEIF(G11:G206,"&gt;0"),1)</f>
        <v>140.5</v>
      </c>
      <c r="P2" s="1"/>
      <c r="Q2" s="1"/>
      <c r="R2" s="1">
        <v>1</v>
      </c>
      <c r="S2" s="7">
        <f>_xlfn.MAXIFS($M$11:$M$206,$B$11:$B$206,R2)</f>
        <v>219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15.6" customHeight="1" x14ac:dyDescent="0.45">
      <c r="A3" s="1"/>
      <c r="B3" s="1" t="s">
        <v>7</v>
      </c>
      <c r="C3" s="1"/>
      <c r="D3" s="1"/>
      <c r="E3" s="1"/>
      <c r="F3" s="1"/>
      <c r="G3" s="3" t="s">
        <v>54</v>
      </c>
      <c r="H3" s="73">
        <f>ROUND(AVERAGEIF(H11:H206,"&gt;0"),1)</f>
        <v>139.9</v>
      </c>
      <c r="I3" s="3" t="s">
        <v>55</v>
      </c>
      <c r="J3" s="11">
        <f>MIN(J11:J206)</f>
        <v>38</v>
      </c>
      <c r="K3" s="3" t="s">
        <v>55</v>
      </c>
      <c r="L3" s="11">
        <f>MIN(L11:L206)</f>
        <v>0</v>
      </c>
      <c r="M3" s="1"/>
      <c r="N3" s="1"/>
      <c r="O3" s="1"/>
      <c r="P3" s="1"/>
      <c r="Q3" s="1"/>
      <c r="R3" s="1">
        <v>2</v>
      </c>
      <c r="S3" s="11">
        <f t="shared" ref="S3:S8" si="0">_xlfn.MAXIFS($M$11:$M$206,$B$11:$B$206,R3)</f>
        <v>-92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ht="15.6" customHeight="1" x14ac:dyDescent="0.45">
      <c r="A4" s="1"/>
      <c r="B4" s="1"/>
      <c r="C4" s="1"/>
      <c r="D4" s="1"/>
      <c r="E4" s="1"/>
      <c r="F4" s="1"/>
      <c r="G4" s="3" t="s">
        <v>56</v>
      </c>
      <c r="H4" s="73">
        <f>ROUND(AVERAGEIF(K11:K206,1,H11:H206),1)</f>
        <v>103.1</v>
      </c>
      <c r="I4" s="3" t="s">
        <v>57</v>
      </c>
      <c r="J4" s="11">
        <f>MAX(J11:J206)</f>
        <v>1173</v>
      </c>
      <c r="K4" s="3" t="s">
        <v>57</v>
      </c>
      <c r="L4" s="11">
        <f>MAX(L11:L206)</f>
        <v>165</v>
      </c>
      <c r="M4" s="1"/>
      <c r="N4" s="1"/>
      <c r="O4" s="1"/>
      <c r="P4" s="1"/>
      <c r="Q4" s="1"/>
      <c r="R4" s="1">
        <v>3</v>
      </c>
      <c r="S4" s="11">
        <f t="shared" si="0"/>
        <v>110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15" customHeight="1" x14ac:dyDescent="0.45">
      <c r="A5" s="1"/>
      <c r="B5" s="1"/>
      <c r="C5" s="1"/>
      <c r="D5" s="1"/>
      <c r="E5" s="1"/>
      <c r="F5" s="1"/>
      <c r="G5" s="3" t="s">
        <v>58</v>
      </c>
      <c r="H5" s="74">
        <f>ROUND(AVERAGEIFS(H11:H206,H11:H206,"&gt;0",K11:K206,0),1)</f>
        <v>146.80000000000001</v>
      </c>
      <c r="I5" s="3" t="s">
        <v>59</v>
      </c>
      <c r="J5" s="56">
        <f>_xlfn.STDEV.P(J11:J206)</f>
        <v>349.35648567277616</v>
      </c>
      <c r="K5" s="3" t="s">
        <v>59</v>
      </c>
      <c r="L5" s="56">
        <f>_xlfn.STDEV.P(L11:L206)</f>
        <v>22.623697524450851</v>
      </c>
      <c r="M5" s="1"/>
      <c r="N5" s="1"/>
      <c r="O5" s="1"/>
      <c r="P5" s="1"/>
      <c r="Q5" s="1"/>
      <c r="R5" s="1">
        <v>4</v>
      </c>
      <c r="S5" s="11">
        <f t="shared" si="0"/>
        <v>258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14.45" customHeight="1" x14ac:dyDescent="0.45">
      <c r="A6" s="1"/>
      <c r="B6" s="1"/>
      <c r="C6" s="1"/>
      <c r="D6" s="1"/>
      <c r="E6" s="1"/>
      <c r="F6" s="1"/>
      <c r="G6" s="1"/>
      <c r="H6" s="1"/>
      <c r="I6" s="3" t="s">
        <v>60</v>
      </c>
      <c r="J6" s="58">
        <f>J4-J3</f>
        <v>1135</v>
      </c>
      <c r="K6" s="3" t="s">
        <v>60</v>
      </c>
      <c r="L6" s="58">
        <f>L4-L3</f>
        <v>165</v>
      </c>
      <c r="M6" s="1"/>
      <c r="N6" s="1"/>
      <c r="O6" s="1"/>
      <c r="P6" s="1"/>
      <c r="Q6" s="1"/>
      <c r="R6" s="1">
        <v>5</v>
      </c>
      <c r="S6" s="11">
        <f t="shared" si="0"/>
        <v>431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14.45" customHeight="1" x14ac:dyDescent="0.45">
      <c r="A7" s="1"/>
      <c r="B7" s="1"/>
      <c r="C7" s="1"/>
      <c r="D7" s="1"/>
      <c r="E7" s="1"/>
      <c r="F7" s="1"/>
      <c r="G7" s="1"/>
      <c r="H7" s="1"/>
      <c r="I7" s="3" t="s">
        <v>61</v>
      </c>
      <c r="J7" s="59">
        <f>J206</f>
        <v>364</v>
      </c>
      <c r="K7" s="3" t="s">
        <v>62</v>
      </c>
      <c r="L7" s="60">
        <f>COUNT(L11:L206)</f>
        <v>117</v>
      </c>
      <c r="M7" s="1"/>
      <c r="N7" s="1"/>
      <c r="O7" s="1"/>
      <c r="P7" s="1"/>
      <c r="Q7" s="1"/>
      <c r="R7" s="1">
        <v>6</v>
      </c>
      <c r="S7" s="53">
        <f t="shared" si="0"/>
        <v>192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15.6" customHeight="1" x14ac:dyDescent="0.45">
      <c r="A8" s="1"/>
      <c r="B8" s="1"/>
      <c r="C8" s="1"/>
      <c r="D8" s="1"/>
      <c r="E8" s="1"/>
      <c r="F8" s="1"/>
      <c r="G8" s="1"/>
      <c r="H8" s="1"/>
      <c r="I8" s="1"/>
      <c r="J8" s="3" t="s">
        <v>63</v>
      </c>
      <c r="K8" s="60">
        <f>SUM(K11:K206)</f>
        <v>22</v>
      </c>
      <c r="L8" s="1"/>
      <c r="M8" s="1"/>
      <c r="N8" s="1"/>
      <c r="O8" s="1"/>
      <c r="P8" s="1"/>
      <c r="Q8" s="1"/>
      <c r="R8" s="1">
        <v>7</v>
      </c>
      <c r="S8" s="54">
        <f t="shared" si="0"/>
        <v>-754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15.75" x14ac:dyDescent="0.5500000000000000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 t="s">
        <v>64</v>
      </c>
      <c r="AF9" s="1"/>
      <c r="AG9" s="1"/>
      <c r="AH9" s="1"/>
      <c r="AI9" s="1" t="s">
        <v>65</v>
      </c>
      <c r="AJ9" s="1"/>
      <c r="AK9" s="1"/>
      <c r="AL9" s="1"/>
      <c r="AM9" s="1" t="s">
        <v>51</v>
      </c>
      <c r="AN9" s="1"/>
      <c r="AO9" s="1"/>
      <c r="AP9" s="1"/>
      <c r="AQ9" s="1" t="s">
        <v>66</v>
      </c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76.5" customHeight="1" x14ac:dyDescent="0.65">
      <c r="A10" s="1"/>
      <c r="B10" s="51" t="s">
        <v>2</v>
      </c>
      <c r="C10" s="51" t="s">
        <v>3</v>
      </c>
      <c r="D10" s="51" t="s">
        <v>4</v>
      </c>
      <c r="E10" s="51" t="s">
        <v>5</v>
      </c>
      <c r="F10" s="51" t="s">
        <v>6</v>
      </c>
      <c r="G10" s="52" t="s">
        <v>45</v>
      </c>
      <c r="H10" s="51" t="s">
        <v>46</v>
      </c>
      <c r="I10" s="51" t="s">
        <v>47</v>
      </c>
      <c r="J10" s="51" t="s">
        <v>48</v>
      </c>
      <c r="K10" s="4" t="s">
        <v>49</v>
      </c>
      <c r="L10" s="6"/>
      <c r="M10" s="6"/>
      <c r="N10" s="51"/>
      <c r="O10" s="51"/>
      <c r="P10" s="5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61" t="s">
        <v>67</v>
      </c>
      <c r="AE10" s="1" t="s">
        <v>68</v>
      </c>
      <c r="AF10" s="1" t="s">
        <v>69</v>
      </c>
      <c r="AG10" s="1"/>
      <c r="AH10" s="61" t="s">
        <v>67</v>
      </c>
      <c r="AI10" s="1" t="s">
        <v>68</v>
      </c>
      <c r="AJ10" s="1" t="s">
        <v>69</v>
      </c>
      <c r="AK10" s="1"/>
      <c r="AL10" s="61" t="s">
        <v>67</v>
      </c>
      <c r="AM10" s="1" t="s">
        <v>68</v>
      </c>
      <c r="AN10" s="1" t="s">
        <v>69</v>
      </c>
      <c r="AO10" s="1"/>
      <c r="AP10" s="61" t="s">
        <v>67</v>
      </c>
      <c r="AQ10" s="1" t="s">
        <v>68</v>
      </c>
      <c r="AR10" s="1" t="s">
        <v>69</v>
      </c>
      <c r="AS10" s="1"/>
      <c r="AT10" s="1"/>
      <c r="AU10" s="1"/>
      <c r="AV10" s="1"/>
      <c r="AW10" s="1">
        <v>1</v>
      </c>
      <c r="AX10" s="1">
        <v>2</v>
      </c>
      <c r="AY10" s="1">
        <v>3</v>
      </c>
      <c r="AZ10" s="1">
        <v>4</v>
      </c>
      <c r="BA10" s="1">
        <v>5</v>
      </c>
      <c r="BB10" s="1">
        <v>6</v>
      </c>
      <c r="BC10" s="1">
        <v>7</v>
      </c>
      <c r="BD10" s="1"/>
    </row>
    <row r="11" spans="1:56" x14ac:dyDescent="0.45">
      <c r="B11" s="11">
        <v>1</v>
      </c>
      <c r="C11">
        <v>1</v>
      </c>
      <c r="D11" s="12">
        <v>1</v>
      </c>
      <c r="E11">
        <v>1</v>
      </c>
      <c r="F11">
        <v>1</v>
      </c>
      <c r="G11">
        <v>85</v>
      </c>
      <c r="H11" s="13">
        <v>0</v>
      </c>
      <c r="I11">
        <v>0</v>
      </c>
      <c r="J11">
        <f>I11+G11-H11</f>
        <v>85</v>
      </c>
      <c r="K11" s="8"/>
      <c r="L11" s="8"/>
      <c r="M11" s="10" t="str">
        <f>IF(B12&lt;&gt;B11,J11-#REF!,"")</f>
        <v/>
      </c>
      <c r="AD11" s="62" t="str">
        <f>"&lt;="&amp;AE11</f>
        <v>&lt;=100</v>
      </c>
      <c r="AE11" s="9">
        <v>100</v>
      </c>
      <c r="AF11" s="10" cm="1">
        <f t="array" ref="AF11:AF23">FREQUENCY(J11:J206,AE11:AE23)</f>
        <v>16</v>
      </c>
      <c r="AH11" s="62" t="str">
        <f>"="&amp;AI11</f>
        <v>=0</v>
      </c>
      <c r="AI11" s="9">
        <v>0</v>
      </c>
      <c r="AJ11" s="10">
        <f t="array" ref="AJ11:AJ19">FREQUENCY(G11:G206,AI11:AI19)</f>
        <v>56</v>
      </c>
      <c r="AL11" s="62" t="str">
        <f>"="&amp;AM11</f>
        <v>=0</v>
      </c>
      <c r="AM11" s="9">
        <v>0</v>
      </c>
      <c r="AN11" s="10">
        <f t="array" ref="AN11:AN20">FREQUENCY(H11:H206,AM11:AM20)</f>
        <v>58</v>
      </c>
      <c r="AP11" s="62" t="str">
        <f>"&lt;="&amp;AQ11</f>
        <v>&lt;=90</v>
      </c>
      <c r="AQ11" s="9">
        <v>90</v>
      </c>
      <c r="AR11" s="10">
        <f t="array" ref="AR11:AR18">FREQUENCY(L11:L206,AQ11:AQ18)</f>
        <v>5</v>
      </c>
      <c r="AW11" s="9">
        <f t="shared" ref="AW11:BC26" si="1">IF($B11=AW$10,$J11,NA())</f>
        <v>85</v>
      </c>
      <c r="AX11" s="8" t="e">
        <f t="shared" si="1"/>
        <v>#N/A</v>
      </c>
      <c r="AY11" s="8" t="e">
        <f t="shared" si="1"/>
        <v>#N/A</v>
      </c>
      <c r="AZ11" s="8" t="e">
        <f t="shared" si="1"/>
        <v>#N/A</v>
      </c>
      <c r="BA11" s="8" t="e">
        <f t="shared" si="1"/>
        <v>#N/A</v>
      </c>
      <c r="BB11" s="8" t="e">
        <f t="shared" si="1"/>
        <v>#N/A</v>
      </c>
      <c r="BC11" s="10" t="e">
        <f t="shared" si="1"/>
        <v>#N/A</v>
      </c>
    </row>
    <row r="12" spans="1:56" x14ac:dyDescent="0.45">
      <c r="B12" s="11">
        <v>1</v>
      </c>
      <c r="C12">
        <v>2</v>
      </c>
      <c r="D12" s="12">
        <v>2</v>
      </c>
      <c r="E12">
        <v>1</v>
      </c>
      <c r="F12">
        <v>1</v>
      </c>
      <c r="G12">
        <v>82</v>
      </c>
      <c r="H12" s="13">
        <v>85</v>
      </c>
      <c r="I12">
        <f>J11</f>
        <v>85</v>
      </c>
      <c r="J12">
        <f t="shared" ref="J12:J75" si="2">I12+G12-H12</f>
        <v>82</v>
      </c>
      <c r="K12">
        <f>IF(AND(H12=I12,F12=1),1,0)</f>
        <v>1</v>
      </c>
      <c r="L12" t="str">
        <f>IF(OR(F12=0,K12=1),"",H12)</f>
        <v/>
      </c>
      <c r="M12" s="13" t="str">
        <f>IF(B13&lt;&gt;B12,J12-#REF!,"")</f>
        <v/>
      </c>
      <c r="AD12" s="62" t="str">
        <f>AE11+1&amp;" - "&amp;AE12</f>
        <v>101 - 200</v>
      </c>
      <c r="AE12" s="12">
        <v>200</v>
      </c>
      <c r="AF12" s="13">
        <v>47</v>
      </c>
      <c r="AH12" s="62" t="str">
        <f>AI11+1&amp;" - "&amp;AI12</f>
        <v>1 - 25</v>
      </c>
      <c r="AI12" s="12">
        <v>25</v>
      </c>
      <c r="AJ12" s="13">
        <v>0</v>
      </c>
      <c r="AL12" s="62" t="str">
        <f>AM11+1&amp;" - "&amp;AM12</f>
        <v>1 - 20</v>
      </c>
      <c r="AM12" s="12">
        <v>20</v>
      </c>
      <c r="AN12" s="13">
        <v>0</v>
      </c>
      <c r="AP12" s="62" t="str">
        <f>AQ11+1&amp;" - "&amp;AQ12</f>
        <v>91 - 100</v>
      </c>
      <c r="AQ12" s="12">
        <v>100</v>
      </c>
      <c r="AR12" s="13">
        <v>1</v>
      </c>
      <c r="AW12" s="12">
        <f t="shared" si="1"/>
        <v>82</v>
      </c>
      <c r="AX12" t="e">
        <f t="shared" si="1"/>
        <v>#N/A</v>
      </c>
      <c r="AY12" t="e">
        <f t="shared" si="1"/>
        <v>#N/A</v>
      </c>
      <c r="AZ12" t="e">
        <f t="shared" si="1"/>
        <v>#N/A</v>
      </c>
      <c r="BA12" t="e">
        <f t="shared" si="1"/>
        <v>#N/A</v>
      </c>
      <c r="BB12" t="e">
        <f t="shared" si="1"/>
        <v>#N/A</v>
      </c>
      <c r="BC12" s="13" t="e">
        <f t="shared" si="1"/>
        <v>#N/A</v>
      </c>
    </row>
    <row r="13" spans="1:56" x14ac:dyDescent="0.45">
      <c r="B13" s="11">
        <v>1</v>
      </c>
      <c r="C13">
        <v>3</v>
      </c>
      <c r="D13" s="12">
        <v>3</v>
      </c>
      <c r="E13">
        <v>1</v>
      </c>
      <c r="F13">
        <v>1</v>
      </c>
      <c r="G13">
        <v>95</v>
      </c>
      <c r="H13" s="13">
        <v>82</v>
      </c>
      <c r="I13">
        <f t="shared" ref="I13:I76" si="3">J12</f>
        <v>82</v>
      </c>
      <c r="J13">
        <f t="shared" si="2"/>
        <v>95</v>
      </c>
      <c r="K13">
        <f t="shared" ref="K13:K76" si="4">IF(AND(H13=I13,F13=1),1,0)</f>
        <v>1</v>
      </c>
      <c r="L13" t="str">
        <f t="shared" ref="L13:L76" si="5">IF(OR(F13=0,K13=1),"",H13)</f>
        <v/>
      </c>
      <c r="M13" s="13" t="str">
        <f>IF(B14&lt;&gt;B13,J13-#REF!,"")</f>
        <v/>
      </c>
      <c r="AD13" s="62" t="str">
        <f t="shared" ref="AD13:AD17" si="6">AE12+1&amp;" - "&amp;AE13</f>
        <v>201 - 300</v>
      </c>
      <c r="AE13" s="12">
        <v>300</v>
      </c>
      <c r="AF13" s="13">
        <v>22</v>
      </c>
      <c r="AH13" s="62" t="str">
        <f t="shared" ref="AH13:AH18" si="7">AI12+1&amp;" - "&amp;AI13</f>
        <v>26 - 50</v>
      </c>
      <c r="AI13" s="12">
        <v>50</v>
      </c>
      <c r="AJ13" s="13">
        <v>5</v>
      </c>
      <c r="AL13" s="62" t="str">
        <f t="shared" ref="AL13:AL19" si="8">AM12+1&amp;" - "&amp;AM13</f>
        <v>21 - 40</v>
      </c>
      <c r="AM13" s="12">
        <v>40</v>
      </c>
      <c r="AN13" s="13">
        <v>0</v>
      </c>
      <c r="AP13" s="62" t="str">
        <f t="shared" ref="AP13:AP18" si="9">AQ12+1&amp;" - "&amp;AQ13</f>
        <v>101 - 110</v>
      </c>
      <c r="AQ13" s="12">
        <v>110</v>
      </c>
      <c r="AR13" s="13">
        <v>0</v>
      </c>
      <c r="AW13" s="12">
        <f t="shared" si="1"/>
        <v>95</v>
      </c>
      <c r="AX13" t="e">
        <f t="shared" si="1"/>
        <v>#N/A</v>
      </c>
      <c r="AY13" t="e">
        <f t="shared" si="1"/>
        <v>#N/A</v>
      </c>
      <c r="AZ13" t="e">
        <f t="shared" si="1"/>
        <v>#N/A</v>
      </c>
      <c r="BA13" t="e">
        <f t="shared" si="1"/>
        <v>#N/A</v>
      </c>
      <c r="BB13" t="e">
        <f t="shared" si="1"/>
        <v>#N/A</v>
      </c>
      <c r="BC13" s="13" t="e">
        <f t="shared" si="1"/>
        <v>#N/A</v>
      </c>
    </row>
    <row r="14" spans="1:56" x14ac:dyDescent="0.45">
      <c r="B14" s="11">
        <v>1</v>
      </c>
      <c r="C14">
        <v>4</v>
      </c>
      <c r="D14" s="12">
        <v>4</v>
      </c>
      <c r="E14">
        <v>1</v>
      </c>
      <c r="F14">
        <v>1</v>
      </c>
      <c r="G14">
        <v>38</v>
      </c>
      <c r="H14" s="13">
        <v>95</v>
      </c>
      <c r="I14">
        <f t="shared" si="3"/>
        <v>95</v>
      </c>
      <c r="J14">
        <f t="shared" si="2"/>
        <v>38</v>
      </c>
      <c r="K14">
        <f t="shared" si="4"/>
        <v>1</v>
      </c>
      <c r="L14" t="str">
        <f t="shared" si="5"/>
        <v/>
      </c>
      <c r="M14" s="13" t="str">
        <f>IF(B15&lt;&gt;B14,J14-#REF!,"")</f>
        <v/>
      </c>
      <c r="AD14" s="62" t="str">
        <f t="shared" si="6"/>
        <v>301 - 400</v>
      </c>
      <c r="AE14" s="12">
        <v>400</v>
      </c>
      <c r="AF14" s="13">
        <v>19</v>
      </c>
      <c r="AH14" s="62" t="str">
        <f t="shared" si="7"/>
        <v>51 - 75</v>
      </c>
      <c r="AI14" s="12">
        <v>75</v>
      </c>
      <c r="AJ14" s="13">
        <v>4</v>
      </c>
      <c r="AL14" s="62" t="str">
        <f t="shared" si="8"/>
        <v>41 - 60</v>
      </c>
      <c r="AM14" s="12">
        <v>60</v>
      </c>
      <c r="AN14" s="13">
        <v>4</v>
      </c>
      <c r="AP14" s="62" t="str">
        <f t="shared" si="9"/>
        <v>111 - 120</v>
      </c>
      <c r="AQ14" s="12">
        <v>120</v>
      </c>
      <c r="AR14" s="13">
        <v>2</v>
      </c>
      <c r="AW14" s="12">
        <f t="shared" si="1"/>
        <v>38</v>
      </c>
      <c r="AX14" t="e">
        <f t="shared" si="1"/>
        <v>#N/A</v>
      </c>
      <c r="AY14" t="e">
        <f t="shared" si="1"/>
        <v>#N/A</v>
      </c>
      <c r="AZ14" t="e">
        <f t="shared" si="1"/>
        <v>#N/A</v>
      </c>
      <c r="BA14" t="e">
        <f t="shared" si="1"/>
        <v>#N/A</v>
      </c>
      <c r="BB14" t="e">
        <f t="shared" si="1"/>
        <v>#N/A</v>
      </c>
      <c r="BC14" s="13" t="e">
        <f t="shared" si="1"/>
        <v>#N/A</v>
      </c>
    </row>
    <row r="15" spans="1:56" x14ac:dyDescent="0.45">
      <c r="B15" s="11">
        <v>1</v>
      </c>
      <c r="C15">
        <v>5</v>
      </c>
      <c r="D15" s="12">
        <v>5</v>
      </c>
      <c r="E15">
        <v>1</v>
      </c>
      <c r="F15">
        <v>0</v>
      </c>
      <c r="G15">
        <v>40</v>
      </c>
      <c r="H15" s="13">
        <v>0</v>
      </c>
      <c r="I15">
        <f t="shared" si="3"/>
        <v>38</v>
      </c>
      <c r="J15">
        <f t="shared" si="2"/>
        <v>78</v>
      </c>
      <c r="K15">
        <f t="shared" si="4"/>
        <v>0</v>
      </c>
      <c r="L15" t="str">
        <f t="shared" si="5"/>
        <v/>
      </c>
      <c r="M15" s="13" t="str">
        <f>IF(B16&lt;&gt;B15,J15-#REF!,"")</f>
        <v/>
      </c>
      <c r="AD15" s="62" t="str">
        <f t="shared" si="6"/>
        <v>401 - 500</v>
      </c>
      <c r="AE15" s="12">
        <v>500</v>
      </c>
      <c r="AF15" s="13">
        <v>10</v>
      </c>
      <c r="AH15" s="62" t="str">
        <f t="shared" si="7"/>
        <v>76 - 100</v>
      </c>
      <c r="AI15" s="12">
        <v>100</v>
      </c>
      <c r="AJ15" s="13">
        <v>10</v>
      </c>
      <c r="AL15" s="62" t="str">
        <f t="shared" si="8"/>
        <v>61 - 80</v>
      </c>
      <c r="AM15" s="12">
        <v>80</v>
      </c>
      <c r="AN15" s="13">
        <v>4</v>
      </c>
      <c r="AP15" s="62" t="str">
        <f t="shared" si="9"/>
        <v>121 - 130</v>
      </c>
      <c r="AQ15" s="12">
        <v>130</v>
      </c>
      <c r="AR15" s="13">
        <v>6</v>
      </c>
      <c r="AW15" s="12">
        <f t="shared" si="1"/>
        <v>78</v>
      </c>
      <c r="AX15" t="e">
        <f t="shared" si="1"/>
        <v>#N/A</v>
      </c>
      <c r="AY15" t="e">
        <f t="shared" si="1"/>
        <v>#N/A</v>
      </c>
      <c r="AZ15" t="e">
        <f t="shared" si="1"/>
        <v>#N/A</v>
      </c>
      <c r="BA15" t="e">
        <f t="shared" si="1"/>
        <v>#N/A</v>
      </c>
      <c r="BB15" t="e">
        <f t="shared" si="1"/>
        <v>#N/A</v>
      </c>
      <c r="BC15" s="13" t="e">
        <f t="shared" si="1"/>
        <v>#N/A</v>
      </c>
    </row>
    <row r="16" spans="1:56" x14ac:dyDescent="0.45">
      <c r="B16" s="11">
        <v>1</v>
      </c>
      <c r="C16">
        <v>6</v>
      </c>
      <c r="D16" s="12">
        <v>6</v>
      </c>
      <c r="E16">
        <v>0</v>
      </c>
      <c r="F16">
        <v>0</v>
      </c>
      <c r="G16">
        <v>0</v>
      </c>
      <c r="H16" s="13">
        <v>0</v>
      </c>
      <c r="I16">
        <f t="shared" si="3"/>
        <v>78</v>
      </c>
      <c r="J16">
        <f t="shared" si="2"/>
        <v>78</v>
      </c>
      <c r="K16">
        <f t="shared" si="4"/>
        <v>0</v>
      </c>
      <c r="L16" t="str">
        <f t="shared" si="5"/>
        <v/>
      </c>
      <c r="M16" s="13" t="str">
        <f>IF(B17&lt;&gt;B16,J16-#REF!,"")</f>
        <v/>
      </c>
      <c r="AD16" s="62" t="str">
        <f t="shared" si="6"/>
        <v>501 - 600</v>
      </c>
      <c r="AE16" s="12">
        <v>600</v>
      </c>
      <c r="AF16" s="13">
        <v>13</v>
      </c>
      <c r="AH16" s="62" t="str">
        <f t="shared" si="7"/>
        <v>101 - 125</v>
      </c>
      <c r="AI16" s="12">
        <v>125</v>
      </c>
      <c r="AJ16" s="13">
        <v>18</v>
      </c>
      <c r="AL16" s="62" t="str">
        <f t="shared" si="8"/>
        <v>81 - 100</v>
      </c>
      <c r="AM16" s="12">
        <v>100</v>
      </c>
      <c r="AN16" s="13">
        <v>6</v>
      </c>
      <c r="AP16" s="62" t="str">
        <f t="shared" si="9"/>
        <v>131 - 140</v>
      </c>
      <c r="AQ16" s="12">
        <v>140</v>
      </c>
      <c r="AR16" s="13">
        <v>7</v>
      </c>
      <c r="AW16" s="12">
        <f t="shared" si="1"/>
        <v>78</v>
      </c>
      <c r="AX16" t="e">
        <f t="shared" si="1"/>
        <v>#N/A</v>
      </c>
      <c r="AY16" t="e">
        <f t="shared" si="1"/>
        <v>#N/A</v>
      </c>
      <c r="AZ16" t="e">
        <f t="shared" si="1"/>
        <v>#N/A</v>
      </c>
      <c r="BA16" t="e">
        <f t="shared" si="1"/>
        <v>#N/A</v>
      </c>
      <c r="BB16" t="e">
        <f t="shared" si="1"/>
        <v>#N/A</v>
      </c>
      <c r="BC16" s="13" t="e">
        <f t="shared" si="1"/>
        <v>#N/A</v>
      </c>
    </row>
    <row r="17" spans="2:55" x14ac:dyDescent="0.45">
      <c r="B17" s="11">
        <v>1</v>
      </c>
      <c r="C17">
        <v>7</v>
      </c>
      <c r="D17" s="14">
        <v>7</v>
      </c>
      <c r="E17" s="15">
        <v>0</v>
      </c>
      <c r="F17" s="15">
        <v>0</v>
      </c>
      <c r="G17" s="15">
        <v>0</v>
      </c>
      <c r="H17" s="16">
        <v>0</v>
      </c>
      <c r="I17">
        <f t="shared" si="3"/>
        <v>78</v>
      </c>
      <c r="J17">
        <f t="shared" si="2"/>
        <v>78</v>
      </c>
      <c r="K17">
        <f t="shared" si="4"/>
        <v>0</v>
      </c>
      <c r="L17" t="str">
        <f t="shared" si="5"/>
        <v/>
      </c>
      <c r="M17" s="13" t="str">
        <f>IF(B18&lt;&gt;B17,J17-#REF!,"")</f>
        <v/>
      </c>
      <c r="AD17" s="62" t="str">
        <f t="shared" si="6"/>
        <v>601 - 700</v>
      </c>
      <c r="AE17" s="12">
        <v>700</v>
      </c>
      <c r="AF17" s="13">
        <v>11</v>
      </c>
      <c r="AH17" s="62" t="str">
        <f t="shared" si="7"/>
        <v>126 - 150</v>
      </c>
      <c r="AI17" s="12">
        <v>150</v>
      </c>
      <c r="AJ17" s="13">
        <v>30</v>
      </c>
      <c r="AL17" s="62" t="str">
        <f t="shared" si="8"/>
        <v>101 - 120</v>
      </c>
      <c r="AM17" s="12">
        <v>120</v>
      </c>
      <c r="AN17" s="13">
        <v>11</v>
      </c>
      <c r="AP17" s="62" t="str">
        <f t="shared" si="9"/>
        <v>141 - 150</v>
      </c>
      <c r="AQ17" s="12">
        <v>150</v>
      </c>
      <c r="AR17" s="13">
        <v>37</v>
      </c>
      <c r="AW17" s="12">
        <f t="shared" si="1"/>
        <v>78</v>
      </c>
      <c r="AX17" t="e">
        <f t="shared" si="1"/>
        <v>#N/A</v>
      </c>
      <c r="AY17" t="e">
        <f t="shared" si="1"/>
        <v>#N/A</v>
      </c>
      <c r="AZ17" t="e">
        <f t="shared" si="1"/>
        <v>#N/A</v>
      </c>
      <c r="BA17" t="e">
        <f t="shared" si="1"/>
        <v>#N/A</v>
      </c>
      <c r="BB17" t="e">
        <f t="shared" si="1"/>
        <v>#N/A</v>
      </c>
      <c r="BC17" s="13" t="e">
        <f t="shared" si="1"/>
        <v>#N/A</v>
      </c>
    </row>
    <row r="18" spans="2:55" x14ac:dyDescent="0.45">
      <c r="B18" s="11">
        <v>1</v>
      </c>
      <c r="C18" s="13">
        <v>8</v>
      </c>
      <c r="D18">
        <v>1</v>
      </c>
      <c r="E18">
        <v>1</v>
      </c>
      <c r="F18">
        <v>1</v>
      </c>
      <c r="G18">
        <v>143</v>
      </c>
      <c r="H18" s="13">
        <v>78</v>
      </c>
      <c r="I18">
        <f t="shared" si="3"/>
        <v>78</v>
      </c>
      <c r="J18">
        <f t="shared" si="2"/>
        <v>143</v>
      </c>
      <c r="K18">
        <f t="shared" si="4"/>
        <v>1</v>
      </c>
      <c r="L18" t="str">
        <f t="shared" si="5"/>
        <v/>
      </c>
      <c r="M18" s="13" t="str">
        <f>IF(B19&lt;&gt;B18,J18-#REF!,"")</f>
        <v/>
      </c>
      <c r="AD18" s="62" t="str">
        <f>AE17+1&amp;" - "&amp;AE18</f>
        <v>701 - 800</v>
      </c>
      <c r="AE18" s="12">
        <v>800</v>
      </c>
      <c r="AF18" s="13">
        <v>4</v>
      </c>
      <c r="AH18" s="62" t="str">
        <f t="shared" si="7"/>
        <v>151 - 175</v>
      </c>
      <c r="AI18" s="12">
        <v>175</v>
      </c>
      <c r="AJ18" s="13">
        <v>57</v>
      </c>
      <c r="AL18" s="62" t="str">
        <f t="shared" si="8"/>
        <v>121 - 140</v>
      </c>
      <c r="AM18" s="12">
        <v>140</v>
      </c>
      <c r="AN18" s="13">
        <v>14</v>
      </c>
      <c r="AP18" s="62" t="str">
        <f t="shared" si="9"/>
        <v>151 - 160</v>
      </c>
      <c r="AQ18" s="14">
        <v>160</v>
      </c>
      <c r="AR18" s="16">
        <v>40</v>
      </c>
      <c r="AW18" s="12">
        <f t="shared" si="1"/>
        <v>143</v>
      </c>
      <c r="AX18" t="e">
        <f t="shared" si="1"/>
        <v>#N/A</v>
      </c>
      <c r="AY18" t="e">
        <f t="shared" si="1"/>
        <v>#N/A</v>
      </c>
      <c r="AZ18" t="e">
        <f t="shared" si="1"/>
        <v>#N/A</v>
      </c>
      <c r="BA18" t="e">
        <f t="shared" si="1"/>
        <v>#N/A</v>
      </c>
      <c r="BB18" t="e">
        <f t="shared" si="1"/>
        <v>#N/A</v>
      </c>
      <c r="BC18" s="13" t="e">
        <f t="shared" si="1"/>
        <v>#N/A</v>
      </c>
    </row>
    <row r="19" spans="2:55" x14ac:dyDescent="0.45">
      <c r="B19" s="11">
        <v>1</v>
      </c>
      <c r="C19" s="13">
        <v>9</v>
      </c>
      <c r="D19">
        <v>2</v>
      </c>
      <c r="E19">
        <v>1</v>
      </c>
      <c r="F19">
        <v>1</v>
      </c>
      <c r="G19">
        <v>85</v>
      </c>
      <c r="H19" s="13">
        <v>122</v>
      </c>
      <c r="I19">
        <f t="shared" si="3"/>
        <v>143</v>
      </c>
      <c r="J19">
        <f t="shared" si="2"/>
        <v>106</v>
      </c>
      <c r="K19">
        <f t="shared" si="4"/>
        <v>0</v>
      </c>
      <c r="L19">
        <f t="shared" si="5"/>
        <v>122</v>
      </c>
      <c r="M19" s="13" t="str">
        <f>IF(B20&lt;&gt;B19,J19-#REF!,"")</f>
        <v/>
      </c>
      <c r="AD19" s="62" t="str">
        <f>AE18+1&amp;" - "&amp;AE19</f>
        <v>801 - 900</v>
      </c>
      <c r="AE19" s="12">
        <v>900</v>
      </c>
      <c r="AF19" s="13">
        <v>8</v>
      </c>
      <c r="AH19" s="62" t="str">
        <f>AI18+1&amp;" +"</f>
        <v>176 +</v>
      </c>
      <c r="AI19" s="14" t="s">
        <v>70</v>
      </c>
      <c r="AJ19" s="16">
        <v>16</v>
      </c>
      <c r="AL19" s="62" t="str">
        <f t="shared" si="8"/>
        <v>141 - 160</v>
      </c>
      <c r="AM19" s="12">
        <v>160</v>
      </c>
      <c r="AN19" s="13">
        <v>80</v>
      </c>
      <c r="AW19" s="12">
        <f t="shared" si="1"/>
        <v>106</v>
      </c>
      <c r="AX19" t="e">
        <f t="shared" si="1"/>
        <v>#N/A</v>
      </c>
      <c r="AY19" t="e">
        <f t="shared" si="1"/>
        <v>#N/A</v>
      </c>
      <c r="AZ19" t="e">
        <f t="shared" si="1"/>
        <v>#N/A</v>
      </c>
      <c r="BA19" t="e">
        <f t="shared" si="1"/>
        <v>#N/A</v>
      </c>
      <c r="BB19" t="e">
        <f t="shared" si="1"/>
        <v>#N/A</v>
      </c>
      <c r="BC19" s="13" t="e">
        <f t="shared" si="1"/>
        <v>#N/A</v>
      </c>
    </row>
    <row r="20" spans="2:55" x14ac:dyDescent="0.45">
      <c r="B20" s="11">
        <v>1</v>
      </c>
      <c r="C20" s="13">
        <v>10</v>
      </c>
      <c r="D20">
        <v>3</v>
      </c>
      <c r="E20">
        <v>1</v>
      </c>
      <c r="F20">
        <v>1</v>
      </c>
      <c r="G20">
        <v>43</v>
      </c>
      <c r="H20" s="13">
        <v>106</v>
      </c>
      <c r="I20">
        <f t="shared" si="3"/>
        <v>106</v>
      </c>
      <c r="J20">
        <f t="shared" si="2"/>
        <v>43</v>
      </c>
      <c r="K20">
        <f t="shared" si="4"/>
        <v>1</v>
      </c>
      <c r="L20" t="str">
        <f t="shared" si="5"/>
        <v/>
      </c>
      <c r="M20" s="13" t="str">
        <f>IF(B21&lt;&gt;B20,J20-#REF!,"")</f>
        <v/>
      </c>
      <c r="AD20" s="62" t="str">
        <f>AE19+1&amp;" - "&amp;AE20</f>
        <v>901 - 1000</v>
      </c>
      <c r="AE20" s="12">
        <v>1000</v>
      </c>
      <c r="AF20" s="13">
        <v>28</v>
      </c>
      <c r="AL20" s="62" t="str">
        <f>AM19+1&amp;" +"</f>
        <v>161 +</v>
      </c>
      <c r="AM20" s="14" t="s">
        <v>70</v>
      </c>
      <c r="AN20" s="16">
        <v>19</v>
      </c>
      <c r="AW20" s="12">
        <f t="shared" si="1"/>
        <v>43</v>
      </c>
      <c r="AX20" t="e">
        <f t="shared" si="1"/>
        <v>#N/A</v>
      </c>
      <c r="AY20" t="e">
        <f t="shared" si="1"/>
        <v>#N/A</v>
      </c>
      <c r="AZ20" t="e">
        <f t="shared" si="1"/>
        <v>#N/A</v>
      </c>
      <c r="BA20" t="e">
        <f t="shared" si="1"/>
        <v>#N/A</v>
      </c>
      <c r="BB20" t="e">
        <f t="shared" si="1"/>
        <v>#N/A</v>
      </c>
      <c r="BC20" s="13" t="e">
        <f t="shared" si="1"/>
        <v>#N/A</v>
      </c>
    </row>
    <row r="21" spans="2:55" x14ac:dyDescent="0.45">
      <c r="B21" s="11">
        <v>1</v>
      </c>
      <c r="C21" s="13">
        <v>11</v>
      </c>
      <c r="D21">
        <v>4</v>
      </c>
      <c r="E21">
        <v>1</v>
      </c>
      <c r="F21">
        <v>1</v>
      </c>
      <c r="G21">
        <v>101</v>
      </c>
      <c r="H21" s="13">
        <v>43</v>
      </c>
      <c r="I21">
        <f t="shared" si="3"/>
        <v>43</v>
      </c>
      <c r="J21">
        <f t="shared" si="2"/>
        <v>101</v>
      </c>
      <c r="K21">
        <f t="shared" si="4"/>
        <v>1</v>
      </c>
      <c r="L21" t="str">
        <f t="shared" si="5"/>
        <v/>
      </c>
      <c r="M21" s="13" t="str">
        <f>IF(B22&lt;&gt;B21,J21-#REF!,"")</f>
        <v/>
      </c>
      <c r="AD21" s="62" t="str">
        <f>AE20+1&amp;" - "&amp;AE21</f>
        <v>1001 - 1100</v>
      </c>
      <c r="AE21" s="12">
        <v>1100</v>
      </c>
      <c r="AF21" s="13">
        <v>10</v>
      </c>
      <c r="AW21" s="12">
        <f t="shared" si="1"/>
        <v>101</v>
      </c>
      <c r="AX21" t="e">
        <f t="shared" si="1"/>
        <v>#N/A</v>
      </c>
      <c r="AY21" t="e">
        <f t="shared" si="1"/>
        <v>#N/A</v>
      </c>
      <c r="AZ21" t="e">
        <f t="shared" si="1"/>
        <v>#N/A</v>
      </c>
      <c r="BA21" t="e">
        <f t="shared" si="1"/>
        <v>#N/A</v>
      </c>
      <c r="BB21" t="e">
        <f t="shared" si="1"/>
        <v>#N/A</v>
      </c>
      <c r="BC21" s="13" t="e">
        <f t="shared" si="1"/>
        <v>#N/A</v>
      </c>
    </row>
    <row r="22" spans="2:55" x14ac:dyDescent="0.45">
      <c r="B22" s="11">
        <v>1</v>
      </c>
      <c r="C22" s="13">
        <v>12</v>
      </c>
      <c r="D22">
        <v>5</v>
      </c>
      <c r="E22">
        <v>1</v>
      </c>
      <c r="F22">
        <v>0</v>
      </c>
      <c r="G22">
        <v>74</v>
      </c>
      <c r="H22" s="13">
        <v>0</v>
      </c>
      <c r="I22">
        <f t="shared" si="3"/>
        <v>101</v>
      </c>
      <c r="J22">
        <f t="shared" si="2"/>
        <v>175</v>
      </c>
      <c r="K22">
        <f t="shared" si="4"/>
        <v>0</v>
      </c>
      <c r="L22" t="str">
        <f t="shared" si="5"/>
        <v/>
      </c>
      <c r="M22" s="13" t="str">
        <f>IF(B23&lt;&gt;B22,J22-#REF!,"")</f>
        <v/>
      </c>
      <c r="AD22" s="62" t="str">
        <f>AE21+1&amp;" - "&amp;AE22</f>
        <v>1101 - 1200</v>
      </c>
      <c r="AE22" s="12">
        <v>1200</v>
      </c>
      <c r="AF22" s="13">
        <v>8</v>
      </c>
      <c r="AW22" s="12">
        <f t="shared" si="1"/>
        <v>175</v>
      </c>
      <c r="AX22" t="e">
        <f t="shared" si="1"/>
        <v>#N/A</v>
      </c>
      <c r="AY22" t="e">
        <f t="shared" si="1"/>
        <v>#N/A</v>
      </c>
      <c r="AZ22" t="e">
        <f t="shared" si="1"/>
        <v>#N/A</v>
      </c>
      <c r="BA22" t="e">
        <f t="shared" si="1"/>
        <v>#N/A</v>
      </c>
      <c r="BB22" t="e">
        <f t="shared" si="1"/>
        <v>#N/A</v>
      </c>
      <c r="BC22" s="13" t="e">
        <f t="shared" si="1"/>
        <v>#N/A</v>
      </c>
    </row>
    <row r="23" spans="2:55" x14ac:dyDescent="0.45">
      <c r="B23" s="11">
        <v>1</v>
      </c>
      <c r="C23" s="13">
        <v>13</v>
      </c>
      <c r="D23">
        <v>6</v>
      </c>
      <c r="E23">
        <v>0</v>
      </c>
      <c r="F23">
        <v>0</v>
      </c>
      <c r="G23">
        <v>0</v>
      </c>
      <c r="H23" s="13">
        <v>0</v>
      </c>
      <c r="I23">
        <f t="shared" si="3"/>
        <v>175</v>
      </c>
      <c r="J23">
        <f t="shared" si="2"/>
        <v>175</v>
      </c>
      <c r="K23">
        <f t="shared" si="4"/>
        <v>0</v>
      </c>
      <c r="L23" t="str">
        <f t="shared" si="5"/>
        <v/>
      </c>
      <c r="M23" s="13" t="str">
        <f>IF(B24&lt;&gt;B23,J23-#REF!,"")</f>
        <v/>
      </c>
      <c r="AD23" s="63" t="str">
        <f>AE22+1&amp;" +"</f>
        <v>1201 +</v>
      </c>
      <c r="AE23" s="64" t="s">
        <v>70</v>
      </c>
      <c r="AF23" s="16">
        <v>0</v>
      </c>
      <c r="AW23" s="12">
        <f t="shared" si="1"/>
        <v>175</v>
      </c>
      <c r="AX23" t="e">
        <f t="shared" si="1"/>
        <v>#N/A</v>
      </c>
      <c r="AY23" t="e">
        <f t="shared" si="1"/>
        <v>#N/A</v>
      </c>
      <c r="AZ23" t="e">
        <f t="shared" si="1"/>
        <v>#N/A</v>
      </c>
      <c r="BA23" t="e">
        <f t="shared" si="1"/>
        <v>#N/A</v>
      </c>
      <c r="BB23" t="e">
        <f t="shared" si="1"/>
        <v>#N/A</v>
      </c>
      <c r="BC23" s="13" t="e">
        <f t="shared" si="1"/>
        <v>#N/A</v>
      </c>
    </row>
    <row r="24" spans="2:55" x14ac:dyDescent="0.45">
      <c r="B24" s="11">
        <v>1</v>
      </c>
      <c r="C24" s="13">
        <v>14</v>
      </c>
      <c r="D24" s="15">
        <v>7</v>
      </c>
      <c r="E24" s="15">
        <v>0</v>
      </c>
      <c r="F24" s="15">
        <v>0</v>
      </c>
      <c r="G24" s="15">
        <v>0</v>
      </c>
      <c r="H24" s="16">
        <v>0</v>
      </c>
      <c r="I24">
        <f t="shared" si="3"/>
        <v>175</v>
      </c>
      <c r="J24">
        <f t="shared" si="2"/>
        <v>175</v>
      </c>
      <c r="K24">
        <f t="shared" si="4"/>
        <v>0</v>
      </c>
      <c r="L24" t="str">
        <f t="shared" si="5"/>
        <v/>
      </c>
      <c r="M24" s="13" t="str">
        <f>IF(B25&lt;&gt;B24,J24-#REF!,"")</f>
        <v/>
      </c>
      <c r="AW24" s="12">
        <f t="shared" si="1"/>
        <v>175</v>
      </c>
      <c r="AX24" t="e">
        <f t="shared" si="1"/>
        <v>#N/A</v>
      </c>
      <c r="AY24" t="e">
        <f t="shared" si="1"/>
        <v>#N/A</v>
      </c>
      <c r="AZ24" t="e">
        <f t="shared" si="1"/>
        <v>#N/A</v>
      </c>
      <c r="BA24" t="e">
        <f t="shared" si="1"/>
        <v>#N/A</v>
      </c>
      <c r="BB24" t="e">
        <f t="shared" si="1"/>
        <v>#N/A</v>
      </c>
      <c r="BC24" s="13" t="e">
        <f t="shared" si="1"/>
        <v>#N/A</v>
      </c>
    </row>
    <row r="25" spans="2:55" x14ac:dyDescent="0.45">
      <c r="B25" s="11">
        <v>1</v>
      </c>
      <c r="C25" s="13">
        <v>15</v>
      </c>
      <c r="D25" s="8">
        <v>1</v>
      </c>
      <c r="E25" s="8">
        <v>1</v>
      </c>
      <c r="F25" s="8">
        <v>1</v>
      </c>
      <c r="G25" s="8">
        <v>71</v>
      </c>
      <c r="H25" s="10">
        <v>128</v>
      </c>
      <c r="I25">
        <f t="shared" si="3"/>
        <v>175</v>
      </c>
      <c r="J25">
        <f t="shared" si="2"/>
        <v>118</v>
      </c>
      <c r="K25">
        <f t="shared" si="4"/>
        <v>0</v>
      </c>
      <c r="L25">
        <f t="shared" si="5"/>
        <v>128</v>
      </c>
      <c r="M25" s="13" t="str">
        <f>IF(B26&lt;&gt;B25,J25-#REF!,"")</f>
        <v/>
      </c>
      <c r="AW25" s="12">
        <f t="shared" si="1"/>
        <v>118</v>
      </c>
      <c r="AX25" t="e">
        <f t="shared" si="1"/>
        <v>#N/A</v>
      </c>
      <c r="AY25" t="e">
        <f t="shared" si="1"/>
        <v>#N/A</v>
      </c>
      <c r="AZ25" t="e">
        <f t="shared" si="1"/>
        <v>#N/A</v>
      </c>
      <c r="BA25" t="e">
        <f t="shared" si="1"/>
        <v>#N/A</v>
      </c>
      <c r="BB25" t="e">
        <f t="shared" si="1"/>
        <v>#N/A</v>
      </c>
      <c r="BC25" s="13" t="e">
        <f t="shared" si="1"/>
        <v>#N/A</v>
      </c>
    </row>
    <row r="26" spans="2:55" x14ac:dyDescent="0.45">
      <c r="B26" s="11">
        <v>1</v>
      </c>
      <c r="C26" s="13">
        <v>16</v>
      </c>
      <c r="D26">
        <v>2</v>
      </c>
      <c r="E26">
        <v>1</v>
      </c>
      <c r="F26">
        <v>1</v>
      </c>
      <c r="G26">
        <v>79</v>
      </c>
      <c r="H26" s="13">
        <v>118</v>
      </c>
      <c r="I26">
        <f t="shared" si="3"/>
        <v>118</v>
      </c>
      <c r="J26">
        <f t="shared" si="2"/>
        <v>79</v>
      </c>
      <c r="K26">
        <f t="shared" si="4"/>
        <v>1</v>
      </c>
      <c r="L26" t="str">
        <f t="shared" si="5"/>
        <v/>
      </c>
      <c r="M26" s="13" t="str">
        <f>IF(B27&lt;&gt;B26,J26-#REF!,"")</f>
        <v/>
      </c>
      <c r="AW26" s="12">
        <f t="shared" si="1"/>
        <v>79</v>
      </c>
      <c r="AX26" t="e">
        <f t="shared" si="1"/>
        <v>#N/A</v>
      </c>
      <c r="AY26" t="e">
        <f t="shared" si="1"/>
        <v>#N/A</v>
      </c>
      <c r="AZ26" t="e">
        <f t="shared" si="1"/>
        <v>#N/A</v>
      </c>
      <c r="BA26" t="e">
        <f t="shared" si="1"/>
        <v>#N/A</v>
      </c>
      <c r="BB26" t="e">
        <f t="shared" si="1"/>
        <v>#N/A</v>
      </c>
      <c r="BC26" s="13" t="e">
        <f t="shared" si="1"/>
        <v>#N/A</v>
      </c>
    </row>
    <row r="27" spans="2:55" x14ac:dyDescent="0.45">
      <c r="B27" s="11">
        <v>1</v>
      </c>
      <c r="C27" s="13">
        <v>17</v>
      </c>
      <c r="D27">
        <v>3</v>
      </c>
      <c r="E27">
        <v>1</v>
      </c>
      <c r="F27">
        <v>1</v>
      </c>
      <c r="G27">
        <v>84</v>
      </c>
      <c r="H27" s="13">
        <v>79</v>
      </c>
      <c r="I27">
        <f t="shared" si="3"/>
        <v>79</v>
      </c>
      <c r="J27">
        <f t="shared" si="2"/>
        <v>84</v>
      </c>
      <c r="K27">
        <f t="shared" si="4"/>
        <v>1</v>
      </c>
      <c r="L27" t="str">
        <f t="shared" si="5"/>
        <v/>
      </c>
      <c r="M27" s="13" t="str">
        <f>IF(B28&lt;&gt;B27,J27-#REF!,"")</f>
        <v/>
      </c>
      <c r="AW27" s="12">
        <f t="shared" ref="AW27:BC42" si="10">IF($B27=AW$10,$J27,NA())</f>
        <v>84</v>
      </c>
      <c r="AX27" t="e">
        <f t="shared" si="10"/>
        <v>#N/A</v>
      </c>
      <c r="AY27" t="e">
        <f t="shared" si="10"/>
        <v>#N/A</v>
      </c>
      <c r="AZ27" t="e">
        <f t="shared" si="10"/>
        <v>#N/A</v>
      </c>
      <c r="BA27" t="e">
        <f t="shared" si="10"/>
        <v>#N/A</v>
      </c>
      <c r="BB27" t="e">
        <f t="shared" si="10"/>
        <v>#N/A</v>
      </c>
      <c r="BC27" s="13" t="e">
        <f t="shared" si="10"/>
        <v>#N/A</v>
      </c>
    </row>
    <row r="28" spans="2:55" x14ac:dyDescent="0.45">
      <c r="B28" s="11">
        <v>1</v>
      </c>
      <c r="C28" s="13">
        <v>18</v>
      </c>
      <c r="D28">
        <v>4</v>
      </c>
      <c r="E28">
        <v>1</v>
      </c>
      <c r="F28">
        <v>1</v>
      </c>
      <c r="G28">
        <v>78</v>
      </c>
      <c r="H28" s="13">
        <v>84</v>
      </c>
      <c r="I28">
        <f t="shared" si="3"/>
        <v>84</v>
      </c>
      <c r="J28">
        <f t="shared" si="2"/>
        <v>78</v>
      </c>
      <c r="K28">
        <f t="shared" si="4"/>
        <v>1</v>
      </c>
      <c r="L28" t="str">
        <f t="shared" si="5"/>
        <v/>
      </c>
      <c r="M28" s="13" t="str">
        <f t="shared" ref="M28:M37" si="11">IF(B29&lt;&gt;B28,J28-I1,"")</f>
        <v/>
      </c>
      <c r="AW28" s="12">
        <f t="shared" si="10"/>
        <v>78</v>
      </c>
      <c r="AX28" t="e">
        <f t="shared" si="10"/>
        <v>#N/A</v>
      </c>
      <c r="AY28" t="e">
        <f t="shared" si="10"/>
        <v>#N/A</v>
      </c>
      <c r="AZ28" t="e">
        <f t="shared" si="10"/>
        <v>#N/A</v>
      </c>
      <c r="BA28" t="e">
        <f t="shared" si="10"/>
        <v>#N/A</v>
      </c>
      <c r="BB28" t="e">
        <f t="shared" si="10"/>
        <v>#N/A</v>
      </c>
      <c r="BC28" s="13" t="e">
        <f t="shared" si="10"/>
        <v>#N/A</v>
      </c>
    </row>
    <row r="29" spans="2:55" x14ac:dyDescent="0.45">
      <c r="B29" s="11">
        <v>1</v>
      </c>
      <c r="C29" s="13">
        <v>19</v>
      </c>
      <c r="D29">
        <v>5</v>
      </c>
      <c r="E29">
        <v>1</v>
      </c>
      <c r="F29">
        <v>0</v>
      </c>
      <c r="G29">
        <v>107</v>
      </c>
      <c r="H29" s="13">
        <v>0</v>
      </c>
      <c r="I29">
        <f t="shared" si="3"/>
        <v>78</v>
      </c>
      <c r="J29">
        <f t="shared" si="2"/>
        <v>185</v>
      </c>
      <c r="K29">
        <f t="shared" si="4"/>
        <v>0</v>
      </c>
      <c r="L29" t="str">
        <f t="shared" si="5"/>
        <v/>
      </c>
      <c r="M29" s="13" t="str">
        <f t="shared" si="11"/>
        <v/>
      </c>
      <c r="AW29" s="12">
        <f t="shared" si="10"/>
        <v>185</v>
      </c>
      <c r="AX29" t="e">
        <f t="shared" si="10"/>
        <v>#N/A</v>
      </c>
      <c r="AY29" t="e">
        <f t="shared" si="10"/>
        <v>#N/A</v>
      </c>
      <c r="AZ29" t="e">
        <f t="shared" si="10"/>
        <v>#N/A</v>
      </c>
      <c r="BA29" t="e">
        <f t="shared" si="10"/>
        <v>#N/A</v>
      </c>
      <c r="BB29" t="e">
        <f t="shared" si="10"/>
        <v>#N/A</v>
      </c>
      <c r="BC29" s="13" t="e">
        <f t="shared" si="10"/>
        <v>#N/A</v>
      </c>
    </row>
    <row r="30" spans="2:55" x14ac:dyDescent="0.45">
      <c r="B30" s="11">
        <v>1</v>
      </c>
      <c r="C30" s="13">
        <v>20</v>
      </c>
      <c r="D30">
        <v>6</v>
      </c>
      <c r="E30">
        <v>0</v>
      </c>
      <c r="F30">
        <v>0</v>
      </c>
      <c r="G30">
        <v>0</v>
      </c>
      <c r="H30" s="13">
        <v>0</v>
      </c>
      <c r="I30">
        <f t="shared" si="3"/>
        <v>185</v>
      </c>
      <c r="J30">
        <f t="shared" si="2"/>
        <v>185</v>
      </c>
      <c r="K30">
        <f t="shared" si="4"/>
        <v>0</v>
      </c>
      <c r="L30" t="str">
        <f t="shared" si="5"/>
        <v/>
      </c>
      <c r="M30" s="13" t="str">
        <f t="shared" si="11"/>
        <v/>
      </c>
      <c r="AW30" s="12">
        <f t="shared" si="10"/>
        <v>185</v>
      </c>
      <c r="AX30" t="e">
        <f t="shared" si="10"/>
        <v>#N/A</v>
      </c>
      <c r="AY30" t="e">
        <f t="shared" si="10"/>
        <v>#N/A</v>
      </c>
      <c r="AZ30" t="e">
        <f t="shared" si="10"/>
        <v>#N/A</v>
      </c>
      <c r="BA30" t="e">
        <f t="shared" si="10"/>
        <v>#N/A</v>
      </c>
      <c r="BB30" t="e">
        <f t="shared" si="10"/>
        <v>#N/A</v>
      </c>
      <c r="BC30" s="13" t="e">
        <f t="shared" si="10"/>
        <v>#N/A</v>
      </c>
    </row>
    <row r="31" spans="2:55" x14ac:dyDescent="0.45">
      <c r="B31" s="11">
        <v>1</v>
      </c>
      <c r="C31" s="13">
        <v>21</v>
      </c>
      <c r="D31" s="15">
        <v>7</v>
      </c>
      <c r="E31" s="15">
        <v>0</v>
      </c>
      <c r="F31" s="15">
        <v>0</v>
      </c>
      <c r="G31" s="15">
        <v>0</v>
      </c>
      <c r="H31" s="16">
        <v>0</v>
      </c>
      <c r="I31">
        <f t="shared" si="3"/>
        <v>185</v>
      </c>
      <c r="J31">
        <f t="shared" si="2"/>
        <v>185</v>
      </c>
      <c r="K31">
        <f t="shared" si="4"/>
        <v>0</v>
      </c>
      <c r="L31" t="str">
        <f t="shared" si="5"/>
        <v/>
      </c>
      <c r="M31" s="13" t="str">
        <f t="shared" si="11"/>
        <v/>
      </c>
      <c r="AW31" s="12">
        <f t="shared" si="10"/>
        <v>185</v>
      </c>
      <c r="AX31" t="e">
        <f t="shared" si="10"/>
        <v>#N/A</v>
      </c>
      <c r="AY31" t="e">
        <f t="shared" si="10"/>
        <v>#N/A</v>
      </c>
      <c r="AZ31" t="e">
        <f t="shared" si="10"/>
        <v>#N/A</v>
      </c>
      <c r="BA31" t="e">
        <f t="shared" si="10"/>
        <v>#N/A</v>
      </c>
      <c r="BB31" t="e">
        <f t="shared" si="10"/>
        <v>#N/A</v>
      </c>
      <c r="BC31" s="13" t="e">
        <f t="shared" si="10"/>
        <v>#N/A</v>
      </c>
    </row>
    <row r="32" spans="2:55" x14ac:dyDescent="0.45">
      <c r="B32" s="11">
        <v>1</v>
      </c>
      <c r="C32" s="13">
        <v>22</v>
      </c>
      <c r="D32" s="8">
        <v>1</v>
      </c>
      <c r="E32" s="8">
        <v>1</v>
      </c>
      <c r="F32" s="8">
        <v>1</v>
      </c>
      <c r="G32" s="8">
        <v>102</v>
      </c>
      <c r="H32" s="10">
        <v>126</v>
      </c>
      <c r="I32">
        <f t="shared" si="3"/>
        <v>185</v>
      </c>
      <c r="J32">
        <f t="shared" si="2"/>
        <v>161</v>
      </c>
      <c r="K32">
        <f t="shared" si="4"/>
        <v>0</v>
      </c>
      <c r="L32">
        <f t="shared" si="5"/>
        <v>126</v>
      </c>
      <c r="M32" s="13" t="str">
        <f t="shared" si="11"/>
        <v/>
      </c>
      <c r="AW32" s="12">
        <f t="shared" si="10"/>
        <v>161</v>
      </c>
      <c r="AX32" t="e">
        <f t="shared" si="10"/>
        <v>#N/A</v>
      </c>
      <c r="AY32" t="e">
        <f t="shared" si="10"/>
        <v>#N/A</v>
      </c>
      <c r="AZ32" t="e">
        <f t="shared" si="10"/>
        <v>#N/A</v>
      </c>
      <c r="BA32" t="e">
        <f t="shared" si="10"/>
        <v>#N/A</v>
      </c>
      <c r="BB32" t="e">
        <f t="shared" si="10"/>
        <v>#N/A</v>
      </c>
      <c r="BC32" s="13" t="e">
        <f t="shared" si="10"/>
        <v>#N/A</v>
      </c>
    </row>
    <row r="33" spans="2:55" x14ac:dyDescent="0.45">
      <c r="B33" s="11">
        <v>1</v>
      </c>
      <c r="C33" s="13">
        <v>23</v>
      </c>
      <c r="D33">
        <v>2</v>
      </c>
      <c r="E33">
        <v>1</v>
      </c>
      <c r="F33">
        <v>1</v>
      </c>
      <c r="G33">
        <v>84</v>
      </c>
      <c r="H33" s="13">
        <v>120</v>
      </c>
      <c r="I33">
        <f t="shared" si="3"/>
        <v>161</v>
      </c>
      <c r="J33">
        <f t="shared" si="2"/>
        <v>125</v>
      </c>
      <c r="K33">
        <f t="shared" si="4"/>
        <v>0</v>
      </c>
      <c r="L33">
        <f t="shared" si="5"/>
        <v>120</v>
      </c>
      <c r="M33" s="13" t="str">
        <f t="shared" si="11"/>
        <v/>
      </c>
      <c r="AW33" s="12">
        <f t="shared" si="10"/>
        <v>125</v>
      </c>
      <c r="AX33" t="e">
        <f t="shared" si="10"/>
        <v>#N/A</v>
      </c>
      <c r="AY33" t="e">
        <f t="shared" si="10"/>
        <v>#N/A</v>
      </c>
      <c r="AZ33" t="e">
        <f t="shared" si="10"/>
        <v>#N/A</v>
      </c>
      <c r="BA33" t="e">
        <f t="shared" si="10"/>
        <v>#N/A</v>
      </c>
      <c r="BB33" t="e">
        <f t="shared" si="10"/>
        <v>#N/A</v>
      </c>
      <c r="BC33" s="13" t="e">
        <f t="shared" si="10"/>
        <v>#N/A</v>
      </c>
    </row>
    <row r="34" spans="2:55" x14ac:dyDescent="0.45">
      <c r="B34" s="11">
        <v>1</v>
      </c>
      <c r="C34" s="13">
        <v>24</v>
      </c>
      <c r="D34">
        <v>3</v>
      </c>
      <c r="E34">
        <v>1</v>
      </c>
      <c r="F34">
        <v>1</v>
      </c>
      <c r="G34">
        <v>79</v>
      </c>
      <c r="H34" s="13">
        <v>122</v>
      </c>
      <c r="I34">
        <f t="shared" si="3"/>
        <v>125</v>
      </c>
      <c r="J34">
        <f t="shared" si="2"/>
        <v>82</v>
      </c>
      <c r="K34">
        <f t="shared" si="4"/>
        <v>0</v>
      </c>
      <c r="L34">
        <f t="shared" si="5"/>
        <v>122</v>
      </c>
      <c r="M34" s="13" t="str">
        <f t="shared" si="11"/>
        <v/>
      </c>
      <c r="AW34" s="12">
        <f t="shared" si="10"/>
        <v>82</v>
      </c>
      <c r="AX34" t="e">
        <f t="shared" si="10"/>
        <v>#N/A</v>
      </c>
      <c r="AY34" t="e">
        <f t="shared" si="10"/>
        <v>#N/A</v>
      </c>
      <c r="AZ34" t="e">
        <f t="shared" si="10"/>
        <v>#N/A</v>
      </c>
      <c r="BA34" t="e">
        <f t="shared" si="10"/>
        <v>#N/A</v>
      </c>
      <c r="BB34" t="e">
        <f t="shared" si="10"/>
        <v>#N/A</v>
      </c>
      <c r="BC34" s="13" t="e">
        <f t="shared" si="10"/>
        <v>#N/A</v>
      </c>
    </row>
    <row r="35" spans="2:55" x14ac:dyDescent="0.45">
      <c r="B35" s="11">
        <v>1</v>
      </c>
      <c r="C35" s="13">
        <v>25</v>
      </c>
      <c r="D35">
        <v>4</v>
      </c>
      <c r="E35">
        <v>1</v>
      </c>
      <c r="F35">
        <v>1</v>
      </c>
      <c r="G35">
        <v>110</v>
      </c>
      <c r="H35" s="13">
        <v>79</v>
      </c>
      <c r="I35">
        <f t="shared" si="3"/>
        <v>82</v>
      </c>
      <c r="J35">
        <f t="shared" si="2"/>
        <v>113</v>
      </c>
      <c r="K35">
        <f t="shared" si="4"/>
        <v>0</v>
      </c>
      <c r="L35">
        <f t="shared" si="5"/>
        <v>79</v>
      </c>
      <c r="M35" s="13" t="str">
        <f t="shared" si="11"/>
        <v/>
      </c>
      <c r="AW35" s="12">
        <f t="shared" si="10"/>
        <v>113</v>
      </c>
      <c r="AX35" t="e">
        <f t="shared" si="10"/>
        <v>#N/A</v>
      </c>
      <c r="AY35" t="e">
        <f t="shared" si="10"/>
        <v>#N/A</v>
      </c>
      <c r="AZ35" t="e">
        <f t="shared" si="10"/>
        <v>#N/A</v>
      </c>
      <c r="BA35" t="e">
        <f t="shared" si="10"/>
        <v>#N/A</v>
      </c>
      <c r="BB35" t="e">
        <f t="shared" si="10"/>
        <v>#N/A</v>
      </c>
      <c r="BC35" s="13" t="e">
        <f t="shared" si="10"/>
        <v>#N/A</v>
      </c>
    </row>
    <row r="36" spans="2:55" x14ac:dyDescent="0.45">
      <c r="B36" s="11">
        <v>1</v>
      </c>
      <c r="C36" s="13">
        <v>26</v>
      </c>
      <c r="D36">
        <v>5</v>
      </c>
      <c r="E36">
        <v>1</v>
      </c>
      <c r="F36">
        <v>0</v>
      </c>
      <c r="G36">
        <v>106</v>
      </c>
      <c r="H36" s="13">
        <v>0</v>
      </c>
      <c r="I36">
        <f t="shared" si="3"/>
        <v>113</v>
      </c>
      <c r="J36">
        <f t="shared" si="2"/>
        <v>219</v>
      </c>
      <c r="K36">
        <f t="shared" si="4"/>
        <v>0</v>
      </c>
      <c r="L36" t="str">
        <f t="shared" si="5"/>
        <v/>
      </c>
      <c r="M36" s="13" t="str">
        <f t="shared" si="11"/>
        <v/>
      </c>
      <c r="AW36" s="12">
        <f t="shared" si="10"/>
        <v>219</v>
      </c>
      <c r="AX36" t="e">
        <f t="shared" si="10"/>
        <v>#N/A</v>
      </c>
      <c r="AY36" t="e">
        <f t="shared" si="10"/>
        <v>#N/A</v>
      </c>
      <c r="AZ36" t="e">
        <f t="shared" si="10"/>
        <v>#N/A</v>
      </c>
      <c r="BA36" t="e">
        <f t="shared" si="10"/>
        <v>#N/A</v>
      </c>
      <c r="BB36" t="e">
        <f t="shared" si="10"/>
        <v>#N/A</v>
      </c>
      <c r="BC36" s="13" t="e">
        <f t="shared" si="10"/>
        <v>#N/A</v>
      </c>
    </row>
    <row r="37" spans="2:55" x14ac:dyDescent="0.45">
      <c r="B37" s="11">
        <v>1</v>
      </c>
      <c r="C37" s="13">
        <v>27</v>
      </c>
      <c r="D37">
        <v>6</v>
      </c>
      <c r="E37">
        <v>0</v>
      </c>
      <c r="F37">
        <v>0</v>
      </c>
      <c r="G37">
        <v>0</v>
      </c>
      <c r="H37" s="13">
        <v>0</v>
      </c>
      <c r="I37">
        <f t="shared" si="3"/>
        <v>219</v>
      </c>
      <c r="J37">
        <f t="shared" si="2"/>
        <v>219</v>
      </c>
      <c r="K37">
        <f t="shared" si="4"/>
        <v>0</v>
      </c>
      <c r="L37" t="str">
        <f t="shared" si="5"/>
        <v/>
      </c>
      <c r="M37" s="13" t="str">
        <f t="shared" si="11"/>
        <v/>
      </c>
      <c r="AW37" s="12">
        <f t="shared" si="10"/>
        <v>219</v>
      </c>
      <c r="AX37" t="e">
        <f t="shared" si="10"/>
        <v>#N/A</v>
      </c>
      <c r="AY37" t="e">
        <f t="shared" si="10"/>
        <v>#N/A</v>
      </c>
      <c r="AZ37" t="e">
        <f t="shared" si="10"/>
        <v>#N/A</v>
      </c>
      <c r="BA37" t="e">
        <f t="shared" si="10"/>
        <v>#N/A</v>
      </c>
      <c r="BB37" t="e">
        <f t="shared" si="10"/>
        <v>#N/A</v>
      </c>
      <c r="BC37" s="13" t="e">
        <f t="shared" si="10"/>
        <v>#N/A</v>
      </c>
    </row>
    <row r="38" spans="2:55" x14ac:dyDescent="0.45">
      <c r="B38" s="17">
        <v>1</v>
      </c>
      <c r="C38" s="13">
        <v>28</v>
      </c>
      <c r="D38" s="15">
        <v>7</v>
      </c>
      <c r="E38" s="15">
        <v>0</v>
      </c>
      <c r="F38" s="15">
        <v>0</v>
      </c>
      <c r="G38" s="15">
        <v>0</v>
      </c>
      <c r="H38" s="16">
        <v>0</v>
      </c>
      <c r="I38">
        <f t="shared" si="3"/>
        <v>219</v>
      </c>
      <c r="J38">
        <f t="shared" si="2"/>
        <v>219</v>
      </c>
      <c r="K38">
        <f t="shared" si="4"/>
        <v>0</v>
      </c>
      <c r="L38" t="str">
        <f t="shared" si="5"/>
        <v/>
      </c>
      <c r="M38" s="13">
        <f>IF(B39&lt;&gt;B38,J38-I11,"")</f>
        <v>219</v>
      </c>
      <c r="AW38" s="12">
        <f t="shared" si="10"/>
        <v>219</v>
      </c>
      <c r="AX38" t="e">
        <f t="shared" si="10"/>
        <v>#N/A</v>
      </c>
      <c r="AY38" t="e">
        <f t="shared" si="10"/>
        <v>#N/A</v>
      </c>
      <c r="AZ38" t="e">
        <f t="shared" si="10"/>
        <v>#N/A</v>
      </c>
      <c r="BA38" t="e">
        <f t="shared" si="10"/>
        <v>#N/A</v>
      </c>
      <c r="BB38" t="e">
        <f t="shared" si="10"/>
        <v>#N/A</v>
      </c>
      <c r="BC38" s="13" t="e">
        <f t="shared" si="10"/>
        <v>#N/A</v>
      </c>
    </row>
    <row r="39" spans="2:55" x14ac:dyDescent="0.45">
      <c r="B39" s="7">
        <v>2</v>
      </c>
      <c r="C39" s="13">
        <v>29</v>
      </c>
      <c r="D39" s="8">
        <v>1</v>
      </c>
      <c r="E39" s="8">
        <v>1</v>
      </c>
      <c r="F39" s="8">
        <v>1</v>
      </c>
      <c r="G39" s="8">
        <v>93</v>
      </c>
      <c r="H39" s="10">
        <v>141</v>
      </c>
      <c r="I39">
        <f t="shared" si="3"/>
        <v>219</v>
      </c>
      <c r="J39">
        <f t="shared" si="2"/>
        <v>171</v>
      </c>
      <c r="K39">
        <f t="shared" si="4"/>
        <v>0</v>
      </c>
      <c r="L39">
        <f t="shared" si="5"/>
        <v>141</v>
      </c>
      <c r="M39" s="13" t="str">
        <f t="shared" ref="M39:M102" si="12">IF(B40&lt;&gt;B39,J39-I12,"")</f>
        <v/>
      </c>
      <c r="AW39" s="12" t="e">
        <f t="shared" si="10"/>
        <v>#N/A</v>
      </c>
      <c r="AX39">
        <f t="shared" si="10"/>
        <v>171</v>
      </c>
      <c r="AY39" t="e">
        <f t="shared" si="10"/>
        <v>#N/A</v>
      </c>
      <c r="AZ39" t="e">
        <f t="shared" si="10"/>
        <v>#N/A</v>
      </c>
      <c r="BA39" t="e">
        <f t="shared" si="10"/>
        <v>#N/A</v>
      </c>
      <c r="BB39" t="e">
        <f t="shared" si="10"/>
        <v>#N/A</v>
      </c>
      <c r="BC39" s="13" t="e">
        <f t="shared" si="10"/>
        <v>#N/A</v>
      </c>
    </row>
    <row r="40" spans="2:55" x14ac:dyDescent="0.45">
      <c r="B40" s="11">
        <v>2</v>
      </c>
      <c r="C40" s="13">
        <v>30</v>
      </c>
      <c r="D40">
        <v>2</v>
      </c>
      <c r="E40">
        <v>1</v>
      </c>
      <c r="F40">
        <v>1</v>
      </c>
      <c r="G40">
        <v>113</v>
      </c>
      <c r="H40" s="13">
        <v>131</v>
      </c>
      <c r="I40">
        <f t="shared" si="3"/>
        <v>171</v>
      </c>
      <c r="J40">
        <f t="shared" si="2"/>
        <v>153</v>
      </c>
      <c r="K40">
        <f t="shared" si="4"/>
        <v>0</v>
      </c>
      <c r="L40">
        <f t="shared" si="5"/>
        <v>131</v>
      </c>
      <c r="M40" s="13" t="str">
        <f t="shared" si="12"/>
        <v/>
      </c>
      <c r="AW40" s="12" t="e">
        <f t="shared" si="10"/>
        <v>#N/A</v>
      </c>
      <c r="AX40">
        <f t="shared" si="10"/>
        <v>153</v>
      </c>
      <c r="AY40" t="e">
        <f t="shared" si="10"/>
        <v>#N/A</v>
      </c>
      <c r="AZ40" t="e">
        <f t="shared" si="10"/>
        <v>#N/A</v>
      </c>
      <c r="BA40" t="e">
        <f t="shared" si="10"/>
        <v>#N/A</v>
      </c>
      <c r="BB40" t="e">
        <f t="shared" si="10"/>
        <v>#N/A</v>
      </c>
      <c r="BC40" s="13" t="e">
        <f t="shared" si="10"/>
        <v>#N/A</v>
      </c>
    </row>
    <row r="41" spans="2:55" x14ac:dyDescent="0.45">
      <c r="B41" s="11">
        <v>2</v>
      </c>
      <c r="C41" s="13">
        <v>31</v>
      </c>
      <c r="D41">
        <v>3</v>
      </c>
      <c r="E41">
        <v>1</v>
      </c>
      <c r="F41">
        <v>1</v>
      </c>
      <c r="G41">
        <v>49</v>
      </c>
      <c r="H41" s="13">
        <v>142</v>
      </c>
      <c r="I41">
        <f t="shared" si="3"/>
        <v>153</v>
      </c>
      <c r="J41">
        <f t="shared" si="2"/>
        <v>60</v>
      </c>
      <c r="K41">
        <f t="shared" si="4"/>
        <v>0</v>
      </c>
      <c r="L41">
        <f t="shared" si="5"/>
        <v>142</v>
      </c>
      <c r="M41" s="13" t="str">
        <f t="shared" si="12"/>
        <v/>
      </c>
      <c r="AW41" s="12" t="e">
        <f t="shared" si="10"/>
        <v>#N/A</v>
      </c>
      <c r="AX41">
        <f t="shared" si="10"/>
        <v>60</v>
      </c>
      <c r="AY41" t="e">
        <f t="shared" si="10"/>
        <v>#N/A</v>
      </c>
      <c r="AZ41" t="e">
        <f t="shared" si="10"/>
        <v>#N/A</v>
      </c>
      <c r="BA41" t="e">
        <f t="shared" si="10"/>
        <v>#N/A</v>
      </c>
      <c r="BB41" t="e">
        <f t="shared" si="10"/>
        <v>#N/A</v>
      </c>
      <c r="BC41" s="13" t="e">
        <f t="shared" si="10"/>
        <v>#N/A</v>
      </c>
    </row>
    <row r="42" spans="2:55" x14ac:dyDescent="0.45">
      <c r="B42" s="11">
        <v>2</v>
      </c>
      <c r="C42" s="13">
        <v>32</v>
      </c>
      <c r="D42">
        <v>4</v>
      </c>
      <c r="E42">
        <v>1</v>
      </c>
      <c r="F42">
        <v>1</v>
      </c>
      <c r="G42">
        <v>152</v>
      </c>
      <c r="H42" s="13">
        <v>60</v>
      </c>
      <c r="I42">
        <f t="shared" si="3"/>
        <v>60</v>
      </c>
      <c r="J42">
        <f t="shared" si="2"/>
        <v>152</v>
      </c>
      <c r="K42">
        <f t="shared" si="4"/>
        <v>1</v>
      </c>
      <c r="L42" t="str">
        <f t="shared" si="5"/>
        <v/>
      </c>
      <c r="M42" s="13" t="str">
        <f t="shared" si="12"/>
        <v/>
      </c>
      <c r="AW42" s="12" t="e">
        <f t="shared" si="10"/>
        <v>#N/A</v>
      </c>
      <c r="AX42">
        <f t="shared" si="10"/>
        <v>152</v>
      </c>
      <c r="AY42" t="e">
        <f t="shared" si="10"/>
        <v>#N/A</v>
      </c>
      <c r="AZ42" t="e">
        <f t="shared" si="10"/>
        <v>#N/A</v>
      </c>
      <c r="BA42" t="e">
        <f t="shared" si="10"/>
        <v>#N/A</v>
      </c>
      <c r="BB42" t="e">
        <f t="shared" si="10"/>
        <v>#N/A</v>
      </c>
      <c r="BC42" s="13" t="e">
        <f t="shared" si="10"/>
        <v>#N/A</v>
      </c>
    </row>
    <row r="43" spans="2:55" x14ac:dyDescent="0.45">
      <c r="B43" s="11">
        <v>2</v>
      </c>
      <c r="C43" s="13">
        <v>33</v>
      </c>
      <c r="D43">
        <v>5</v>
      </c>
      <c r="E43">
        <v>1</v>
      </c>
      <c r="F43">
        <v>1</v>
      </c>
      <c r="G43">
        <v>41</v>
      </c>
      <c r="H43" s="13">
        <v>140</v>
      </c>
      <c r="I43">
        <f t="shared" si="3"/>
        <v>152</v>
      </c>
      <c r="J43">
        <f t="shared" si="2"/>
        <v>53</v>
      </c>
      <c r="K43">
        <f t="shared" si="4"/>
        <v>0</v>
      </c>
      <c r="L43">
        <f t="shared" si="5"/>
        <v>140</v>
      </c>
      <c r="M43" s="13" t="str">
        <f t="shared" si="12"/>
        <v/>
      </c>
      <c r="AW43" s="12" t="e">
        <f t="shared" ref="AW43:BC58" si="13">IF($B43=AW$10,$J43,NA())</f>
        <v>#N/A</v>
      </c>
      <c r="AX43">
        <f t="shared" si="13"/>
        <v>53</v>
      </c>
      <c r="AY43" t="e">
        <f t="shared" si="13"/>
        <v>#N/A</v>
      </c>
      <c r="AZ43" t="e">
        <f t="shared" si="13"/>
        <v>#N/A</v>
      </c>
      <c r="BA43" t="e">
        <f t="shared" si="13"/>
        <v>#N/A</v>
      </c>
      <c r="BB43" t="e">
        <f t="shared" si="13"/>
        <v>#N/A</v>
      </c>
      <c r="BC43" s="13" t="e">
        <f t="shared" si="13"/>
        <v>#N/A</v>
      </c>
    </row>
    <row r="44" spans="2:55" x14ac:dyDescent="0.45">
      <c r="B44" s="11">
        <v>2</v>
      </c>
      <c r="C44" s="13">
        <v>34</v>
      </c>
      <c r="D44">
        <v>6</v>
      </c>
      <c r="E44">
        <v>0</v>
      </c>
      <c r="F44">
        <v>0</v>
      </c>
      <c r="G44">
        <v>0</v>
      </c>
      <c r="H44" s="13">
        <v>0</v>
      </c>
      <c r="I44">
        <f t="shared" si="3"/>
        <v>53</v>
      </c>
      <c r="J44">
        <f t="shared" si="2"/>
        <v>53</v>
      </c>
      <c r="K44">
        <f t="shared" si="4"/>
        <v>0</v>
      </c>
      <c r="L44" t="str">
        <f t="shared" si="5"/>
        <v/>
      </c>
      <c r="M44" s="13" t="str">
        <f t="shared" si="12"/>
        <v/>
      </c>
      <c r="AW44" s="12" t="e">
        <f t="shared" si="13"/>
        <v>#N/A</v>
      </c>
      <c r="AX44">
        <f t="shared" si="13"/>
        <v>53</v>
      </c>
      <c r="AY44" t="e">
        <f t="shared" si="13"/>
        <v>#N/A</v>
      </c>
      <c r="AZ44" t="e">
        <f t="shared" si="13"/>
        <v>#N/A</v>
      </c>
      <c r="BA44" t="e">
        <f t="shared" si="13"/>
        <v>#N/A</v>
      </c>
      <c r="BB44" t="e">
        <f t="shared" si="13"/>
        <v>#N/A</v>
      </c>
      <c r="BC44" s="13" t="e">
        <f t="shared" si="13"/>
        <v>#N/A</v>
      </c>
    </row>
    <row r="45" spans="2:55" x14ac:dyDescent="0.45">
      <c r="B45" s="11">
        <v>2</v>
      </c>
      <c r="C45" s="13">
        <v>35</v>
      </c>
      <c r="D45" s="15">
        <v>7</v>
      </c>
      <c r="E45" s="15">
        <v>0</v>
      </c>
      <c r="F45" s="15">
        <v>0</v>
      </c>
      <c r="G45" s="15">
        <v>0</v>
      </c>
      <c r="H45" s="16">
        <v>0</v>
      </c>
      <c r="I45">
        <f t="shared" si="3"/>
        <v>53</v>
      </c>
      <c r="J45">
        <f t="shared" si="2"/>
        <v>53</v>
      </c>
      <c r="K45">
        <f t="shared" si="4"/>
        <v>0</v>
      </c>
      <c r="L45" t="str">
        <f t="shared" si="5"/>
        <v/>
      </c>
      <c r="M45" s="13" t="str">
        <f t="shared" si="12"/>
        <v/>
      </c>
      <c r="AW45" s="12" t="e">
        <f t="shared" si="13"/>
        <v>#N/A</v>
      </c>
      <c r="AX45">
        <f t="shared" si="13"/>
        <v>53</v>
      </c>
      <c r="AY45" t="e">
        <f t="shared" si="13"/>
        <v>#N/A</v>
      </c>
      <c r="AZ45" t="e">
        <f t="shared" si="13"/>
        <v>#N/A</v>
      </c>
      <c r="BA45" t="e">
        <f t="shared" si="13"/>
        <v>#N/A</v>
      </c>
      <c r="BB45" t="e">
        <f t="shared" si="13"/>
        <v>#N/A</v>
      </c>
      <c r="BC45" s="13" t="e">
        <f t="shared" si="13"/>
        <v>#N/A</v>
      </c>
    </row>
    <row r="46" spans="2:55" x14ac:dyDescent="0.45">
      <c r="B46" s="11">
        <v>2</v>
      </c>
      <c r="C46" s="13">
        <v>36</v>
      </c>
      <c r="D46" s="8">
        <v>1</v>
      </c>
      <c r="E46" s="8">
        <v>1</v>
      </c>
      <c r="F46" s="8">
        <v>1</v>
      </c>
      <c r="G46" s="8">
        <v>144</v>
      </c>
      <c r="H46" s="10">
        <v>53</v>
      </c>
      <c r="I46">
        <f t="shared" si="3"/>
        <v>53</v>
      </c>
      <c r="J46">
        <f t="shared" si="2"/>
        <v>144</v>
      </c>
      <c r="K46">
        <f t="shared" si="4"/>
        <v>1</v>
      </c>
      <c r="L46" t="str">
        <f t="shared" si="5"/>
        <v/>
      </c>
      <c r="M46" s="13" t="str">
        <f t="shared" si="12"/>
        <v/>
      </c>
      <c r="AW46" s="12" t="e">
        <f t="shared" si="13"/>
        <v>#N/A</v>
      </c>
      <c r="AX46">
        <f t="shared" si="13"/>
        <v>144</v>
      </c>
      <c r="AY46" t="e">
        <f t="shared" si="13"/>
        <v>#N/A</v>
      </c>
      <c r="AZ46" t="e">
        <f t="shared" si="13"/>
        <v>#N/A</v>
      </c>
      <c r="BA46" t="e">
        <f t="shared" si="13"/>
        <v>#N/A</v>
      </c>
      <c r="BB46" t="e">
        <f t="shared" si="13"/>
        <v>#N/A</v>
      </c>
      <c r="BC46" s="13" t="e">
        <f t="shared" si="13"/>
        <v>#N/A</v>
      </c>
    </row>
    <row r="47" spans="2:55" x14ac:dyDescent="0.45">
      <c r="B47" s="11">
        <v>2</v>
      </c>
      <c r="C47" s="13">
        <v>37</v>
      </c>
      <c r="D47">
        <v>2</v>
      </c>
      <c r="E47">
        <v>1</v>
      </c>
      <c r="F47">
        <v>1</v>
      </c>
      <c r="G47">
        <v>117</v>
      </c>
      <c r="H47" s="13">
        <v>144</v>
      </c>
      <c r="I47">
        <f t="shared" si="3"/>
        <v>144</v>
      </c>
      <c r="J47">
        <f t="shared" si="2"/>
        <v>117</v>
      </c>
      <c r="K47">
        <f t="shared" si="4"/>
        <v>1</v>
      </c>
      <c r="L47" t="str">
        <f t="shared" si="5"/>
        <v/>
      </c>
      <c r="M47" s="13" t="str">
        <f t="shared" si="12"/>
        <v/>
      </c>
      <c r="AW47" s="12" t="e">
        <f t="shared" si="13"/>
        <v>#N/A</v>
      </c>
      <c r="AX47">
        <f t="shared" si="13"/>
        <v>117</v>
      </c>
      <c r="AY47" t="e">
        <f t="shared" si="13"/>
        <v>#N/A</v>
      </c>
      <c r="AZ47" t="e">
        <f t="shared" si="13"/>
        <v>#N/A</v>
      </c>
      <c r="BA47" t="e">
        <f t="shared" si="13"/>
        <v>#N/A</v>
      </c>
      <c r="BB47" t="e">
        <f t="shared" si="13"/>
        <v>#N/A</v>
      </c>
      <c r="BC47" s="13" t="e">
        <f t="shared" si="13"/>
        <v>#N/A</v>
      </c>
    </row>
    <row r="48" spans="2:55" x14ac:dyDescent="0.45">
      <c r="B48" s="11">
        <v>2</v>
      </c>
      <c r="C48" s="13">
        <v>38</v>
      </c>
      <c r="D48">
        <v>3</v>
      </c>
      <c r="E48">
        <v>1</v>
      </c>
      <c r="F48">
        <v>1</v>
      </c>
      <c r="G48">
        <v>117</v>
      </c>
      <c r="H48" s="13">
        <v>117</v>
      </c>
      <c r="I48">
        <f t="shared" si="3"/>
        <v>117</v>
      </c>
      <c r="J48">
        <f t="shared" si="2"/>
        <v>117</v>
      </c>
      <c r="K48">
        <f t="shared" si="4"/>
        <v>1</v>
      </c>
      <c r="L48" t="str">
        <f t="shared" si="5"/>
        <v/>
      </c>
      <c r="M48" s="13" t="str">
        <f t="shared" si="12"/>
        <v/>
      </c>
      <c r="AW48" s="12" t="e">
        <f t="shared" si="13"/>
        <v>#N/A</v>
      </c>
      <c r="AX48">
        <f t="shared" si="13"/>
        <v>117</v>
      </c>
      <c r="AY48" t="e">
        <f t="shared" si="13"/>
        <v>#N/A</v>
      </c>
      <c r="AZ48" t="e">
        <f t="shared" si="13"/>
        <v>#N/A</v>
      </c>
      <c r="BA48" t="e">
        <f t="shared" si="13"/>
        <v>#N/A</v>
      </c>
      <c r="BB48" t="e">
        <f t="shared" si="13"/>
        <v>#N/A</v>
      </c>
      <c r="BC48" s="13" t="e">
        <f t="shared" si="13"/>
        <v>#N/A</v>
      </c>
    </row>
    <row r="49" spans="2:55" x14ac:dyDescent="0.45">
      <c r="B49" s="11">
        <v>2</v>
      </c>
      <c r="C49" s="13">
        <v>39</v>
      </c>
      <c r="D49">
        <v>4</v>
      </c>
      <c r="E49">
        <v>1</v>
      </c>
      <c r="F49">
        <v>1</v>
      </c>
      <c r="G49">
        <v>120</v>
      </c>
      <c r="H49" s="13">
        <v>117</v>
      </c>
      <c r="I49">
        <f t="shared" si="3"/>
        <v>117</v>
      </c>
      <c r="J49">
        <f t="shared" si="2"/>
        <v>120</v>
      </c>
      <c r="K49">
        <f t="shared" si="4"/>
        <v>1</v>
      </c>
      <c r="L49" t="str">
        <f t="shared" si="5"/>
        <v/>
      </c>
      <c r="M49" s="13" t="str">
        <f t="shared" si="12"/>
        <v/>
      </c>
      <c r="AW49" s="12" t="e">
        <f t="shared" si="13"/>
        <v>#N/A</v>
      </c>
      <c r="AX49">
        <f t="shared" si="13"/>
        <v>120</v>
      </c>
      <c r="AY49" t="e">
        <f t="shared" si="13"/>
        <v>#N/A</v>
      </c>
      <c r="AZ49" t="e">
        <f t="shared" si="13"/>
        <v>#N/A</v>
      </c>
      <c r="BA49" t="e">
        <f t="shared" si="13"/>
        <v>#N/A</v>
      </c>
      <c r="BB49" t="e">
        <f t="shared" si="13"/>
        <v>#N/A</v>
      </c>
      <c r="BC49" s="13" t="e">
        <f t="shared" si="13"/>
        <v>#N/A</v>
      </c>
    </row>
    <row r="50" spans="2:55" x14ac:dyDescent="0.45">
      <c r="B50" s="11">
        <v>2</v>
      </c>
      <c r="C50" s="13">
        <v>40</v>
      </c>
      <c r="D50">
        <v>5</v>
      </c>
      <c r="E50">
        <v>1</v>
      </c>
      <c r="F50">
        <v>1</v>
      </c>
      <c r="G50">
        <v>111</v>
      </c>
      <c r="H50" s="13">
        <v>120</v>
      </c>
      <c r="I50">
        <f t="shared" si="3"/>
        <v>120</v>
      </c>
      <c r="J50">
        <f t="shared" si="2"/>
        <v>111</v>
      </c>
      <c r="K50">
        <f t="shared" si="4"/>
        <v>1</v>
      </c>
      <c r="L50" t="str">
        <f t="shared" si="5"/>
        <v/>
      </c>
      <c r="M50" s="13" t="str">
        <f t="shared" si="12"/>
        <v/>
      </c>
      <c r="AW50" s="12" t="e">
        <f t="shared" si="13"/>
        <v>#N/A</v>
      </c>
      <c r="AX50">
        <f t="shared" si="13"/>
        <v>111</v>
      </c>
      <c r="AY50" t="e">
        <f t="shared" si="13"/>
        <v>#N/A</v>
      </c>
      <c r="AZ50" t="e">
        <f t="shared" si="13"/>
        <v>#N/A</v>
      </c>
      <c r="BA50" t="e">
        <f t="shared" si="13"/>
        <v>#N/A</v>
      </c>
      <c r="BB50" t="e">
        <f t="shared" si="13"/>
        <v>#N/A</v>
      </c>
      <c r="BC50" s="13" t="e">
        <f t="shared" si="13"/>
        <v>#N/A</v>
      </c>
    </row>
    <row r="51" spans="2:55" x14ac:dyDescent="0.45">
      <c r="B51" s="11">
        <v>2</v>
      </c>
      <c r="C51" s="13">
        <v>41</v>
      </c>
      <c r="D51">
        <v>6</v>
      </c>
      <c r="E51">
        <v>0</v>
      </c>
      <c r="F51">
        <v>0</v>
      </c>
      <c r="G51">
        <v>0</v>
      </c>
      <c r="H51" s="13">
        <v>0</v>
      </c>
      <c r="I51">
        <f t="shared" si="3"/>
        <v>111</v>
      </c>
      <c r="J51">
        <f t="shared" si="2"/>
        <v>111</v>
      </c>
      <c r="K51">
        <f t="shared" si="4"/>
        <v>0</v>
      </c>
      <c r="L51" t="str">
        <f t="shared" si="5"/>
        <v/>
      </c>
      <c r="M51" s="13" t="str">
        <f t="shared" si="12"/>
        <v/>
      </c>
      <c r="AW51" s="12" t="e">
        <f t="shared" si="13"/>
        <v>#N/A</v>
      </c>
      <c r="AX51">
        <f t="shared" si="13"/>
        <v>111</v>
      </c>
      <c r="AY51" t="e">
        <f t="shared" si="13"/>
        <v>#N/A</v>
      </c>
      <c r="AZ51" t="e">
        <f t="shared" si="13"/>
        <v>#N/A</v>
      </c>
      <c r="BA51" t="e">
        <f t="shared" si="13"/>
        <v>#N/A</v>
      </c>
      <c r="BB51" t="e">
        <f t="shared" si="13"/>
        <v>#N/A</v>
      </c>
      <c r="BC51" s="13" t="e">
        <f t="shared" si="13"/>
        <v>#N/A</v>
      </c>
    </row>
    <row r="52" spans="2:55" x14ac:dyDescent="0.45">
      <c r="B52" s="11">
        <v>2</v>
      </c>
      <c r="C52" s="13">
        <v>42</v>
      </c>
      <c r="D52" s="15">
        <v>7</v>
      </c>
      <c r="E52" s="15">
        <v>0</v>
      </c>
      <c r="F52" s="15">
        <v>0</v>
      </c>
      <c r="G52" s="15">
        <v>0</v>
      </c>
      <c r="H52" s="16">
        <v>0</v>
      </c>
      <c r="I52">
        <f t="shared" si="3"/>
        <v>111</v>
      </c>
      <c r="J52">
        <f t="shared" si="2"/>
        <v>111</v>
      </c>
      <c r="K52">
        <f t="shared" si="4"/>
        <v>0</v>
      </c>
      <c r="L52" t="str">
        <f t="shared" si="5"/>
        <v/>
      </c>
      <c r="M52" s="13" t="str">
        <f t="shared" si="12"/>
        <v/>
      </c>
      <c r="AW52" s="12" t="e">
        <f t="shared" si="13"/>
        <v>#N/A</v>
      </c>
      <c r="AX52">
        <f t="shared" si="13"/>
        <v>111</v>
      </c>
      <c r="AY52" t="e">
        <f t="shared" si="13"/>
        <v>#N/A</v>
      </c>
      <c r="AZ52" t="e">
        <f t="shared" si="13"/>
        <v>#N/A</v>
      </c>
      <c r="BA52" t="e">
        <f t="shared" si="13"/>
        <v>#N/A</v>
      </c>
      <c r="BB52" t="e">
        <f t="shared" si="13"/>
        <v>#N/A</v>
      </c>
      <c r="BC52" s="13" t="e">
        <f t="shared" si="13"/>
        <v>#N/A</v>
      </c>
    </row>
    <row r="53" spans="2:55" x14ac:dyDescent="0.45">
      <c r="B53" s="11">
        <v>2</v>
      </c>
      <c r="C53" s="13">
        <v>43</v>
      </c>
      <c r="D53" s="8">
        <v>1</v>
      </c>
      <c r="E53" s="8">
        <v>1</v>
      </c>
      <c r="F53" s="8">
        <v>1</v>
      </c>
      <c r="G53" s="8">
        <v>114</v>
      </c>
      <c r="H53" s="10">
        <v>111</v>
      </c>
      <c r="I53">
        <f t="shared" si="3"/>
        <v>111</v>
      </c>
      <c r="J53">
        <f t="shared" si="2"/>
        <v>114</v>
      </c>
      <c r="K53">
        <f t="shared" si="4"/>
        <v>1</v>
      </c>
      <c r="L53" t="str">
        <f t="shared" si="5"/>
        <v/>
      </c>
      <c r="M53" s="13" t="str">
        <f t="shared" si="12"/>
        <v/>
      </c>
      <c r="AW53" s="12" t="e">
        <f t="shared" si="13"/>
        <v>#N/A</v>
      </c>
      <c r="AX53">
        <f t="shared" si="13"/>
        <v>114</v>
      </c>
      <c r="AY53" t="e">
        <f t="shared" si="13"/>
        <v>#N/A</v>
      </c>
      <c r="AZ53" t="e">
        <f t="shared" si="13"/>
        <v>#N/A</v>
      </c>
      <c r="BA53" t="e">
        <f t="shared" si="13"/>
        <v>#N/A</v>
      </c>
      <c r="BB53" t="e">
        <f t="shared" si="13"/>
        <v>#N/A</v>
      </c>
      <c r="BC53" s="13" t="e">
        <f t="shared" si="13"/>
        <v>#N/A</v>
      </c>
    </row>
    <row r="54" spans="2:55" x14ac:dyDescent="0.45">
      <c r="B54" s="11">
        <v>2</v>
      </c>
      <c r="C54" s="13">
        <v>44</v>
      </c>
      <c r="D54">
        <v>2</v>
      </c>
      <c r="E54">
        <v>1</v>
      </c>
      <c r="F54">
        <v>1</v>
      </c>
      <c r="G54">
        <v>148</v>
      </c>
      <c r="H54" s="13">
        <v>114</v>
      </c>
      <c r="I54">
        <f t="shared" si="3"/>
        <v>114</v>
      </c>
      <c r="J54">
        <f t="shared" si="2"/>
        <v>148</v>
      </c>
      <c r="K54">
        <f t="shared" si="4"/>
        <v>1</v>
      </c>
      <c r="L54" t="str">
        <f t="shared" si="5"/>
        <v/>
      </c>
      <c r="M54" s="13" t="str">
        <f t="shared" si="12"/>
        <v/>
      </c>
      <c r="AW54" s="12" t="e">
        <f t="shared" si="13"/>
        <v>#N/A</v>
      </c>
      <c r="AX54">
        <f t="shared" si="13"/>
        <v>148</v>
      </c>
      <c r="AY54" t="e">
        <f t="shared" si="13"/>
        <v>#N/A</v>
      </c>
      <c r="AZ54" t="e">
        <f t="shared" si="13"/>
        <v>#N/A</v>
      </c>
      <c r="BA54" t="e">
        <f t="shared" si="13"/>
        <v>#N/A</v>
      </c>
      <c r="BB54" t="e">
        <f t="shared" si="13"/>
        <v>#N/A</v>
      </c>
      <c r="BC54" s="13" t="e">
        <f t="shared" si="13"/>
        <v>#N/A</v>
      </c>
    </row>
    <row r="55" spans="2:55" x14ac:dyDescent="0.45">
      <c r="B55" s="11">
        <v>2</v>
      </c>
      <c r="C55" s="13">
        <v>45</v>
      </c>
      <c r="D55">
        <v>3</v>
      </c>
      <c r="E55">
        <v>1</v>
      </c>
      <c r="F55">
        <v>1</v>
      </c>
      <c r="G55">
        <v>116</v>
      </c>
      <c r="H55" s="13">
        <v>148</v>
      </c>
      <c r="I55">
        <f t="shared" si="3"/>
        <v>148</v>
      </c>
      <c r="J55">
        <f t="shared" si="2"/>
        <v>116</v>
      </c>
      <c r="K55">
        <f t="shared" si="4"/>
        <v>1</v>
      </c>
      <c r="L55" t="str">
        <f t="shared" si="5"/>
        <v/>
      </c>
      <c r="M55" s="13" t="str">
        <f t="shared" si="12"/>
        <v/>
      </c>
      <c r="AW55" s="12" t="e">
        <f t="shared" si="13"/>
        <v>#N/A</v>
      </c>
      <c r="AX55">
        <f t="shared" si="13"/>
        <v>116</v>
      </c>
      <c r="AY55" t="e">
        <f t="shared" si="13"/>
        <v>#N/A</v>
      </c>
      <c r="AZ55" t="e">
        <f t="shared" si="13"/>
        <v>#N/A</v>
      </c>
      <c r="BA55" t="e">
        <f t="shared" si="13"/>
        <v>#N/A</v>
      </c>
      <c r="BB55" t="e">
        <f t="shared" si="13"/>
        <v>#N/A</v>
      </c>
      <c r="BC55" s="13" t="e">
        <f t="shared" si="13"/>
        <v>#N/A</v>
      </c>
    </row>
    <row r="56" spans="2:55" x14ac:dyDescent="0.45">
      <c r="B56" s="11">
        <v>2</v>
      </c>
      <c r="C56" s="13">
        <v>46</v>
      </c>
      <c r="D56">
        <v>4</v>
      </c>
      <c r="E56">
        <v>1</v>
      </c>
      <c r="F56">
        <v>1</v>
      </c>
      <c r="G56">
        <v>112</v>
      </c>
      <c r="H56" s="13">
        <v>116</v>
      </c>
      <c r="I56">
        <f t="shared" si="3"/>
        <v>116</v>
      </c>
      <c r="J56">
        <f t="shared" si="2"/>
        <v>112</v>
      </c>
      <c r="K56">
        <f t="shared" si="4"/>
        <v>1</v>
      </c>
      <c r="L56" t="str">
        <f t="shared" si="5"/>
        <v/>
      </c>
      <c r="M56" s="13" t="str">
        <f t="shared" si="12"/>
        <v/>
      </c>
      <c r="AW56" s="12" t="e">
        <f t="shared" si="13"/>
        <v>#N/A</v>
      </c>
      <c r="AX56">
        <f t="shared" si="13"/>
        <v>112</v>
      </c>
      <c r="AY56" t="e">
        <f t="shared" si="13"/>
        <v>#N/A</v>
      </c>
      <c r="AZ56" t="e">
        <f t="shared" si="13"/>
        <v>#N/A</v>
      </c>
      <c r="BA56" t="e">
        <f t="shared" si="13"/>
        <v>#N/A</v>
      </c>
      <c r="BB56" t="e">
        <f t="shared" si="13"/>
        <v>#N/A</v>
      </c>
      <c r="BC56" s="13" t="e">
        <f t="shared" si="13"/>
        <v>#N/A</v>
      </c>
    </row>
    <row r="57" spans="2:55" x14ac:dyDescent="0.45">
      <c r="B57" s="11">
        <v>2</v>
      </c>
      <c r="C57" s="13">
        <v>47</v>
      </c>
      <c r="D57">
        <v>5</v>
      </c>
      <c r="E57">
        <v>1</v>
      </c>
      <c r="F57">
        <v>1</v>
      </c>
      <c r="G57">
        <v>144</v>
      </c>
      <c r="H57" s="13">
        <v>112</v>
      </c>
      <c r="I57">
        <f t="shared" si="3"/>
        <v>112</v>
      </c>
      <c r="J57">
        <f t="shared" si="2"/>
        <v>144</v>
      </c>
      <c r="K57">
        <f t="shared" si="4"/>
        <v>1</v>
      </c>
      <c r="L57" t="str">
        <f t="shared" si="5"/>
        <v/>
      </c>
      <c r="M57" s="13" t="str">
        <f t="shared" si="12"/>
        <v/>
      </c>
      <c r="AW57" s="12" t="e">
        <f t="shared" si="13"/>
        <v>#N/A</v>
      </c>
      <c r="AX57">
        <f t="shared" si="13"/>
        <v>144</v>
      </c>
      <c r="AY57" t="e">
        <f t="shared" si="13"/>
        <v>#N/A</v>
      </c>
      <c r="AZ57" t="e">
        <f t="shared" si="13"/>
        <v>#N/A</v>
      </c>
      <c r="BA57" t="e">
        <f t="shared" si="13"/>
        <v>#N/A</v>
      </c>
      <c r="BB57" t="e">
        <f t="shared" si="13"/>
        <v>#N/A</v>
      </c>
      <c r="BC57" s="13" t="e">
        <f t="shared" si="13"/>
        <v>#N/A</v>
      </c>
    </row>
    <row r="58" spans="2:55" x14ac:dyDescent="0.45">
      <c r="B58" s="11">
        <v>2</v>
      </c>
      <c r="C58" s="13">
        <v>48</v>
      </c>
      <c r="D58">
        <v>6</v>
      </c>
      <c r="E58">
        <v>0</v>
      </c>
      <c r="F58">
        <v>0</v>
      </c>
      <c r="G58">
        <v>0</v>
      </c>
      <c r="H58" s="13">
        <v>0</v>
      </c>
      <c r="I58">
        <f t="shared" si="3"/>
        <v>144</v>
      </c>
      <c r="J58">
        <f t="shared" si="2"/>
        <v>144</v>
      </c>
      <c r="K58">
        <f t="shared" si="4"/>
        <v>0</v>
      </c>
      <c r="L58" t="str">
        <f t="shared" si="5"/>
        <v/>
      </c>
      <c r="M58" s="13" t="str">
        <f t="shared" si="12"/>
        <v/>
      </c>
      <c r="AW58" s="12" t="e">
        <f t="shared" si="13"/>
        <v>#N/A</v>
      </c>
      <c r="AX58">
        <f t="shared" si="13"/>
        <v>144</v>
      </c>
      <c r="AY58" t="e">
        <f t="shared" si="13"/>
        <v>#N/A</v>
      </c>
      <c r="AZ58" t="e">
        <f t="shared" si="13"/>
        <v>#N/A</v>
      </c>
      <c r="BA58" t="e">
        <f t="shared" si="13"/>
        <v>#N/A</v>
      </c>
      <c r="BB58" t="e">
        <f t="shared" si="13"/>
        <v>#N/A</v>
      </c>
      <c r="BC58" s="13" t="e">
        <f t="shared" si="13"/>
        <v>#N/A</v>
      </c>
    </row>
    <row r="59" spans="2:55" x14ac:dyDescent="0.45">
      <c r="B59" s="11">
        <v>2</v>
      </c>
      <c r="C59" s="13">
        <v>49</v>
      </c>
      <c r="D59" s="15">
        <v>7</v>
      </c>
      <c r="E59" s="15">
        <v>0</v>
      </c>
      <c r="F59" s="15">
        <v>0</v>
      </c>
      <c r="G59" s="15">
        <v>0</v>
      </c>
      <c r="H59" s="16">
        <v>0</v>
      </c>
      <c r="I59">
        <f t="shared" si="3"/>
        <v>144</v>
      </c>
      <c r="J59">
        <f t="shared" si="2"/>
        <v>144</v>
      </c>
      <c r="K59">
        <f t="shared" si="4"/>
        <v>0</v>
      </c>
      <c r="L59" t="str">
        <f t="shared" si="5"/>
        <v/>
      </c>
      <c r="M59" s="13" t="str">
        <f t="shared" si="12"/>
        <v/>
      </c>
      <c r="AW59" s="12" t="e">
        <f t="shared" ref="AW59:BC74" si="14">IF($B59=AW$10,$J59,NA())</f>
        <v>#N/A</v>
      </c>
      <c r="AX59">
        <f t="shared" si="14"/>
        <v>144</v>
      </c>
      <c r="AY59" t="e">
        <f t="shared" si="14"/>
        <v>#N/A</v>
      </c>
      <c r="AZ59" t="e">
        <f t="shared" si="14"/>
        <v>#N/A</v>
      </c>
      <c r="BA59" t="e">
        <f t="shared" si="14"/>
        <v>#N/A</v>
      </c>
      <c r="BB59" t="e">
        <f t="shared" si="14"/>
        <v>#N/A</v>
      </c>
      <c r="BC59" s="13" t="e">
        <f t="shared" si="14"/>
        <v>#N/A</v>
      </c>
    </row>
    <row r="60" spans="2:55" x14ac:dyDescent="0.45">
      <c r="B60" s="11">
        <v>2</v>
      </c>
      <c r="C60" s="13">
        <v>50</v>
      </c>
      <c r="D60" s="8">
        <v>1</v>
      </c>
      <c r="E60" s="8">
        <v>1</v>
      </c>
      <c r="F60" s="8">
        <v>1</v>
      </c>
      <c r="G60" s="8">
        <v>113</v>
      </c>
      <c r="H60" s="10">
        <v>57</v>
      </c>
      <c r="I60">
        <f t="shared" si="3"/>
        <v>144</v>
      </c>
      <c r="J60">
        <f t="shared" si="2"/>
        <v>200</v>
      </c>
      <c r="K60">
        <f t="shared" si="4"/>
        <v>0</v>
      </c>
      <c r="L60">
        <f t="shared" si="5"/>
        <v>57</v>
      </c>
      <c r="M60" s="13" t="str">
        <f t="shared" si="12"/>
        <v/>
      </c>
      <c r="AW60" s="12" t="e">
        <f t="shared" si="14"/>
        <v>#N/A</v>
      </c>
      <c r="AX60">
        <f t="shared" si="14"/>
        <v>200</v>
      </c>
      <c r="AY60" t="e">
        <f t="shared" si="14"/>
        <v>#N/A</v>
      </c>
      <c r="AZ60" t="e">
        <f t="shared" si="14"/>
        <v>#N/A</v>
      </c>
      <c r="BA60" t="e">
        <f t="shared" si="14"/>
        <v>#N/A</v>
      </c>
      <c r="BB60" t="e">
        <f t="shared" si="14"/>
        <v>#N/A</v>
      </c>
      <c r="BC60" s="13" t="e">
        <f t="shared" si="14"/>
        <v>#N/A</v>
      </c>
    </row>
    <row r="61" spans="2:55" x14ac:dyDescent="0.45">
      <c r="B61" s="11">
        <v>2</v>
      </c>
      <c r="C61" s="13">
        <v>51</v>
      </c>
      <c r="D61">
        <v>2</v>
      </c>
      <c r="E61">
        <v>1</v>
      </c>
      <c r="F61">
        <v>1</v>
      </c>
      <c r="G61">
        <v>115</v>
      </c>
      <c r="H61" s="13">
        <v>134</v>
      </c>
      <c r="I61">
        <f t="shared" si="3"/>
        <v>200</v>
      </c>
      <c r="J61">
        <f t="shared" si="2"/>
        <v>181</v>
      </c>
      <c r="K61">
        <f t="shared" si="4"/>
        <v>0</v>
      </c>
      <c r="L61">
        <f t="shared" si="5"/>
        <v>134</v>
      </c>
      <c r="M61" s="13" t="str">
        <f t="shared" si="12"/>
        <v/>
      </c>
      <c r="AW61" s="12" t="e">
        <f t="shared" si="14"/>
        <v>#N/A</v>
      </c>
      <c r="AX61">
        <f t="shared" si="14"/>
        <v>181</v>
      </c>
      <c r="AY61" t="e">
        <f t="shared" si="14"/>
        <v>#N/A</v>
      </c>
      <c r="AZ61" t="e">
        <f t="shared" si="14"/>
        <v>#N/A</v>
      </c>
      <c r="BA61" t="e">
        <f t="shared" si="14"/>
        <v>#N/A</v>
      </c>
      <c r="BB61" t="e">
        <f t="shared" si="14"/>
        <v>#N/A</v>
      </c>
      <c r="BC61" s="13" t="e">
        <f t="shared" si="14"/>
        <v>#N/A</v>
      </c>
    </row>
    <row r="62" spans="2:55" x14ac:dyDescent="0.45">
      <c r="B62" s="11">
        <v>2</v>
      </c>
      <c r="C62" s="13">
        <v>52</v>
      </c>
      <c r="D62">
        <v>3</v>
      </c>
      <c r="E62">
        <v>1</v>
      </c>
      <c r="F62">
        <v>1</v>
      </c>
      <c r="G62">
        <v>123</v>
      </c>
      <c r="H62" s="13">
        <v>144</v>
      </c>
      <c r="I62">
        <f t="shared" si="3"/>
        <v>181</v>
      </c>
      <c r="J62">
        <f t="shared" si="2"/>
        <v>160</v>
      </c>
      <c r="K62">
        <f t="shared" si="4"/>
        <v>0</v>
      </c>
      <c r="L62">
        <f t="shared" si="5"/>
        <v>144</v>
      </c>
      <c r="M62" s="13" t="str">
        <f t="shared" si="12"/>
        <v/>
      </c>
      <c r="AW62" s="12" t="e">
        <f t="shared" si="14"/>
        <v>#N/A</v>
      </c>
      <c r="AX62">
        <f t="shared" si="14"/>
        <v>160</v>
      </c>
      <c r="AY62" t="e">
        <f t="shared" si="14"/>
        <v>#N/A</v>
      </c>
      <c r="AZ62" t="e">
        <f t="shared" si="14"/>
        <v>#N/A</v>
      </c>
      <c r="BA62" t="e">
        <f t="shared" si="14"/>
        <v>#N/A</v>
      </c>
      <c r="BB62" t="e">
        <f t="shared" si="14"/>
        <v>#N/A</v>
      </c>
      <c r="BC62" s="13" t="e">
        <f t="shared" si="14"/>
        <v>#N/A</v>
      </c>
    </row>
    <row r="63" spans="2:55" x14ac:dyDescent="0.45">
      <c r="B63" s="11">
        <v>2</v>
      </c>
      <c r="C63" s="13">
        <v>53</v>
      </c>
      <c r="D63">
        <v>4</v>
      </c>
      <c r="E63">
        <v>1</v>
      </c>
      <c r="F63">
        <v>1</v>
      </c>
      <c r="G63">
        <v>136</v>
      </c>
      <c r="H63" s="13">
        <v>120</v>
      </c>
      <c r="I63">
        <f t="shared" si="3"/>
        <v>160</v>
      </c>
      <c r="J63">
        <f t="shared" si="2"/>
        <v>176</v>
      </c>
      <c r="K63">
        <f t="shared" si="4"/>
        <v>0</v>
      </c>
      <c r="L63">
        <f t="shared" si="5"/>
        <v>120</v>
      </c>
      <c r="M63" s="13" t="str">
        <f t="shared" si="12"/>
        <v/>
      </c>
      <c r="AW63" s="12" t="e">
        <f t="shared" si="14"/>
        <v>#N/A</v>
      </c>
      <c r="AX63">
        <f t="shared" si="14"/>
        <v>176</v>
      </c>
      <c r="AY63" t="e">
        <f t="shared" si="14"/>
        <v>#N/A</v>
      </c>
      <c r="AZ63" t="e">
        <f t="shared" si="14"/>
        <v>#N/A</v>
      </c>
      <c r="BA63" t="e">
        <f t="shared" si="14"/>
        <v>#N/A</v>
      </c>
      <c r="BB63" t="e">
        <f t="shared" si="14"/>
        <v>#N/A</v>
      </c>
      <c r="BC63" s="13" t="e">
        <f t="shared" si="14"/>
        <v>#N/A</v>
      </c>
    </row>
    <row r="64" spans="2:55" x14ac:dyDescent="0.45">
      <c r="B64" s="11">
        <v>2</v>
      </c>
      <c r="C64" s="13">
        <v>54</v>
      </c>
      <c r="D64">
        <v>5</v>
      </c>
      <c r="E64">
        <v>1</v>
      </c>
      <c r="F64">
        <v>1</v>
      </c>
      <c r="G64">
        <v>111</v>
      </c>
      <c r="H64" s="13">
        <v>160</v>
      </c>
      <c r="I64">
        <f t="shared" si="3"/>
        <v>176</v>
      </c>
      <c r="J64">
        <f t="shared" si="2"/>
        <v>127</v>
      </c>
      <c r="K64">
        <f t="shared" si="4"/>
        <v>0</v>
      </c>
      <c r="L64">
        <f t="shared" si="5"/>
        <v>160</v>
      </c>
      <c r="M64" s="13" t="str">
        <f t="shared" si="12"/>
        <v/>
      </c>
      <c r="AW64" s="12" t="e">
        <f t="shared" si="14"/>
        <v>#N/A</v>
      </c>
      <c r="AX64">
        <f t="shared" si="14"/>
        <v>127</v>
      </c>
      <c r="AY64" t="e">
        <f t="shared" si="14"/>
        <v>#N/A</v>
      </c>
      <c r="AZ64" t="e">
        <f t="shared" si="14"/>
        <v>#N/A</v>
      </c>
      <c r="BA64" t="e">
        <f t="shared" si="14"/>
        <v>#N/A</v>
      </c>
      <c r="BB64" t="e">
        <f t="shared" si="14"/>
        <v>#N/A</v>
      </c>
      <c r="BC64" s="13" t="e">
        <f t="shared" si="14"/>
        <v>#N/A</v>
      </c>
    </row>
    <row r="65" spans="2:55" x14ac:dyDescent="0.45">
      <c r="B65" s="11">
        <v>2</v>
      </c>
      <c r="C65" s="13">
        <v>55</v>
      </c>
      <c r="D65">
        <v>6</v>
      </c>
      <c r="E65">
        <v>0</v>
      </c>
      <c r="F65">
        <v>0</v>
      </c>
      <c r="G65">
        <v>0</v>
      </c>
      <c r="H65" s="13">
        <v>0</v>
      </c>
      <c r="I65">
        <f t="shared" si="3"/>
        <v>127</v>
      </c>
      <c r="J65">
        <f t="shared" si="2"/>
        <v>127</v>
      </c>
      <c r="K65">
        <f t="shared" si="4"/>
        <v>0</v>
      </c>
      <c r="L65" t="str">
        <f t="shared" si="5"/>
        <v/>
      </c>
      <c r="M65" s="13" t="str">
        <f t="shared" si="12"/>
        <v/>
      </c>
      <c r="AW65" s="12" t="e">
        <f t="shared" si="14"/>
        <v>#N/A</v>
      </c>
      <c r="AX65">
        <f t="shared" si="14"/>
        <v>127</v>
      </c>
      <c r="AY65" t="e">
        <f t="shared" si="14"/>
        <v>#N/A</v>
      </c>
      <c r="AZ65" t="e">
        <f t="shared" si="14"/>
        <v>#N/A</v>
      </c>
      <c r="BA65" t="e">
        <f t="shared" si="14"/>
        <v>#N/A</v>
      </c>
      <c r="BB65" t="e">
        <f t="shared" si="14"/>
        <v>#N/A</v>
      </c>
      <c r="BC65" s="13" t="e">
        <f t="shared" si="14"/>
        <v>#N/A</v>
      </c>
    </row>
    <row r="66" spans="2:55" x14ac:dyDescent="0.45">
      <c r="B66" s="17">
        <v>2</v>
      </c>
      <c r="C66" s="13">
        <v>56</v>
      </c>
      <c r="D66" s="15">
        <v>7</v>
      </c>
      <c r="E66" s="15">
        <v>0</v>
      </c>
      <c r="F66" s="15">
        <v>0</v>
      </c>
      <c r="G66" s="15">
        <v>0</v>
      </c>
      <c r="H66" s="16">
        <v>0</v>
      </c>
      <c r="I66">
        <f t="shared" si="3"/>
        <v>127</v>
      </c>
      <c r="J66">
        <f t="shared" si="2"/>
        <v>127</v>
      </c>
      <c r="K66">
        <f t="shared" si="4"/>
        <v>0</v>
      </c>
      <c r="L66" t="str">
        <f t="shared" si="5"/>
        <v/>
      </c>
      <c r="M66" s="13">
        <f t="shared" si="12"/>
        <v>-92</v>
      </c>
      <c r="AW66" s="12" t="e">
        <f t="shared" si="14"/>
        <v>#N/A</v>
      </c>
      <c r="AX66">
        <f t="shared" si="14"/>
        <v>127</v>
      </c>
      <c r="AY66" t="e">
        <f t="shared" si="14"/>
        <v>#N/A</v>
      </c>
      <c r="AZ66" t="e">
        <f t="shared" si="14"/>
        <v>#N/A</v>
      </c>
      <c r="BA66" t="e">
        <f t="shared" si="14"/>
        <v>#N/A</v>
      </c>
      <c r="BB66" t="e">
        <f t="shared" si="14"/>
        <v>#N/A</v>
      </c>
      <c r="BC66" s="13" t="e">
        <f t="shared" si="14"/>
        <v>#N/A</v>
      </c>
    </row>
    <row r="67" spans="2:55" x14ac:dyDescent="0.45">
      <c r="B67" s="7">
        <v>3</v>
      </c>
      <c r="C67" s="13">
        <v>57</v>
      </c>
      <c r="D67" s="8">
        <v>1</v>
      </c>
      <c r="E67" s="8">
        <v>1</v>
      </c>
      <c r="F67" s="8">
        <v>1</v>
      </c>
      <c r="G67" s="8">
        <v>137</v>
      </c>
      <c r="H67" s="10">
        <v>126</v>
      </c>
      <c r="I67">
        <f t="shared" si="3"/>
        <v>127</v>
      </c>
      <c r="J67">
        <f t="shared" si="2"/>
        <v>138</v>
      </c>
      <c r="K67">
        <f t="shared" si="4"/>
        <v>0</v>
      </c>
      <c r="L67">
        <f t="shared" si="5"/>
        <v>126</v>
      </c>
      <c r="M67" s="13" t="str">
        <f t="shared" si="12"/>
        <v/>
      </c>
      <c r="AW67" s="12" t="e">
        <f t="shared" si="14"/>
        <v>#N/A</v>
      </c>
      <c r="AX67" t="e">
        <f t="shared" si="14"/>
        <v>#N/A</v>
      </c>
      <c r="AY67">
        <f t="shared" si="14"/>
        <v>138</v>
      </c>
      <c r="AZ67" t="e">
        <f t="shared" si="14"/>
        <v>#N/A</v>
      </c>
      <c r="BA67" t="e">
        <f t="shared" si="14"/>
        <v>#N/A</v>
      </c>
      <c r="BB67" t="e">
        <f t="shared" si="14"/>
        <v>#N/A</v>
      </c>
      <c r="BC67" s="13" t="e">
        <f t="shared" si="14"/>
        <v>#N/A</v>
      </c>
    </row>
    <row r="68" spans="2:55" x14ac:dyDescent="0.45">
      <c r="B68" s="11">
        <v>3</v>
      </c>
      <c r="C68" s="13">
        <v>58</v>
      </c>
      <c r="D68">
        <v>2</v>
      </c>
      <c r="E68">
        <v>1</v>
      </c>
      <c r="F68">
        <v>1</v>
      </c>
      <c r="G68">
        <v>152</v>
      </c>
      <c r="H68" s="13">
        <v>138</v>
      </c>
      <c r="I68">
        <f t="shared" si="3"/>
        <v>138</v>
      </c>
      <c r="J68">
        <f t="shared" si="2"/>
        <v>152</v>
      </c>
      <c r="K68">
        <f t="shared" si="4"/>
        <v>1</v>
      </c>
      <c r="L68" t="str">
        <f t="shared" si="5"/>
        <v/>
      </c>
      <c r="M68" s="13" t="str">
        <f t="shared" si="12"/>
        <v/>
      </c>
      <c r="AW68" s="12" t="e">
        <f t="shared" si="14"/>
        <v>#N/A</v>
      </c>
      <c r="AX68" t="e">
        <f t="shared" si="14"/>
        <v>#N/A</v>
      </c>
      <c r="AY68">
        <f t="shared" si="14"/>
        <v>152</v>
      </c>
      <c r="AZ68" t="e">
        <f t="shared" si="14"/>
        <v>#N/A</v>
      </c>
      <c r="BA68" t="e">
        <f t="shared" si="14"/>
        <v>#N/A</v>
      </c>
      <c r="BB68" t="e">
        <f t="shared" si="14"/>
        <v>#N/A</v>
      </c>
      <c r="BC68" s="13" t="e">
        <f t="shared" si="14"/>
        <v>#N/A</v>
      </c>
    </row>
    <row r="69" spans="2:55" x14ac:dyDescent="0.45">
      <c r="B69" s="11">
        <v>3</v>
      </c>
      <c r="C69" s="13">
        <v>59</v>
      </c>
      <c r="D69">
        <v>3</v>
      </c>
      <c r="E69">
        <v>1</v>
      </c>
      <c r="F69">
        <v>1</v>
      </c>
      <c r="G69">
        <v>143</v>
      </c>
      <c r="H69" s="13">
        <v>146</v>
      </c>
      <c r="I69">
        <f t="shared" si="3"/>
        <v>152</v>
      </c>
      <c r="J69">
        <f t="shared" si="2"/>
        <v>149</v>
      </c>
      <c r="K69">
        <f t="shared" si="4"/>
        <v>0</v>
      </c>
      <c r="L69">
        <f t="shared" si="5"/>
        <v>146</v>
      </c>
      <c r="M69" s="13" t="str">
        <f t="shared" si="12"/>
        <v/>
      </c>
      <c r="AW69" s="12" t="e">
        <f t="shared" si="14"/>
        <v>#N/A</v>
      </c>
      <c r="AX69" t="e">
        <f t="shared" si="14"/>
        <v>#N/A</v>
      </c>
      <c r="AY69">
        <f t="shared" si="14"/>
        <v>149</v>
      </c>
      <c r="AZ69" t="e">
        <f t="shared" si="14"/>
        <v>#N/A</v>
      </c>
      <c r="BA69" t="e">
        <f t="shared" si="14"/>
        <v>#N/A</v>
      </c>
      <c r="BB69" t="e">
        <f t="shared" si="14"/>
        <v>#N/A</v>
      </c>
      <c r="BC69" s="13" t="e">
        <f t="shared" si="14"/>
        <v>#N/A</v>
      </c>
    </row>
    <row r="70" spans="2:55" x14ac:dyDescent="0.45">
      <c r="B70" s="11">
        <v>3</v>
      </c>
      <c r="C70" s="13">
        <v>60</v>
      </c>
      <c r="D70">
        <v>4</v>
      </c>
      <c r="E70">
        <v>1</v>
      </c>
      <c r="F70">
        <v>1</v>
      </c>
      <c r="G70">
        <v>166</v>
      </c>
      <c r="H70" s="13">
        <v>149</v>
      </c>
      <c r="I70">
        <f t="shared" si="3"/>
        <v>149</v>
      </c>
      <c r="J70">
        <f t="shared" si="2"/>
        <v>166</v>
      </c>
      <c r="K70">
        <f t="shared" si="4"/>
        <v>1</v>
      </c>
      <c r="L70" t="str">
        <f t="shared" si="5"/>
        <v/>
      </c>
      <c r="M70" s="13" t="str">
        <f t="shared" si="12"/>
        <v/>
      </c>
      <c r="AW70" s="12" t="e">
        <f t="shared" si="14"/>
        <v>#N/A</v>
      </c>
      <c r="AX70" t="e">
        <f t="shared" si="14"/>
        <v>#N/A</v>
      </c>
      <c r="AY70">
        <f t="shared" si="14"/>
        <v>166</v>
      </c>
      <c r="AZ70" t="e">
        <f t="shared" si="14"/>
        <v>#N/A</v>
      </c>
      <c r="BA70" t="e">
        <f t="shared" si="14"/>
        <v>#N/A</v>
      </c>
      <c r="BB70" t="e">
        <f t="shared" si="14"/>
        <v>#N/A</v>
      </c>
      <c r="BC70" s="13" t="e">
        <f t="shared" si="14"/>
        <v>#N/A</v>
      </c>
    </row>
    <row r="71" spans="2:55" x14ac:dyDescent="0.45">
      <c r="B71" s="11">
        <v>3</v>
      </c>
      <c r="C71" s="13">
        <v>61</v>
      </c>
      <c r="D71">
        <v>5</v>
      </c>
      <c r="E71">
        <v>1</v>
      </c>
      <c r="F71">
        <v>1</v>
      </c>
      <c r="G71">
        <v>159</v>
      </c>
      <c r="H71" s="13">
        <v>139</v>
      </c>
      <c r="I71">
        <f t="shared" si="3"/>
        <v>166</v>
      </c>
      <c r="J71">
        <f t="shared" si="2"/>
        <v>186</v>
      </c>
      <c r="K71">
        <f t="shared" si="4"/>
        <v>0</v>
      </c>
      <c r="L71">
        <f t="shared" si="5"/>
        <v>139</v>
      </c>
      <c r="M71" s="13" t="str">
        <f t="shared" si="12"/>
        <v/>
      </c>
      <c r="AW71" s="12" t="e">
        <f t="shared" si="14"/>
        <v>#N/A</v>
      </c>
      <c r="AX71" t="e">
        <f t="shared" si="14"/>
        <v>#N/A</v>
      </c>
      <c r="AY71">
        <f t="shared" si="14"/>
        <v>186</v>
      </c>
      <c r="AZ71" t="e">
        <f t="shared" si="14"/>
        <v>#N/A</v>
      </c>
      <c r="BA71" t="e">
        <f t="shared" si="14"/>
        <v>#N/A</v>
      </c>
      <c r="BB71" t="e">
        <f t="shared" si="14"/>
        <v>#N/A</v>
      </c>
      <c r="BC71" s="13" t="e">
        <f t="shared" si="14"/>
        <v>#N/A</v>
      </c>
    </row>
    <row r="72" spans="2:55" x14ac:dyDescent="0.45">
      <c r="B72" s="11">
        <v>3</v>
      </c>
      <c r="C72" s="13">
        <v>62</v>
      </c>
      <c r="D72">
        <v>6</v>
      </c>
      <c r="E72">
        <v>0</v>
      </c>
      <c r="F72">
        <v>0</v>
      </c>
      <c r="G72">
        <v>0</v>
      </c>
      <c r="H72" s="13">
        <v>0</v>
      </c>
      <c r="I72">
        <f t="shared" si="3"/>
        <v>186</v>
      </c>
      <c r="J72">
        <f t="shared" si="2"/>
        <v>186</v>
      </c>
      <c r="K72">
        <f t="shared" si="4"/>
        <v>0</v>
      </c>
      <c r="L72" t="str">
        <f t="shared" si="5"/>
        <v/>
      </c>
      <c r="M72" s="13" t="str">
        <f t="shared" si="12"/>
        <v/>
      </c>
      <c r="AW72" s="12" t="e">
        <f t="shared" si="14"/>
        <v>#N/A</v>
      </c>
      <c r="AX72" t="e">
        <f t="shared" si="14"/>
        <v>#N/A</v>
      </c>
      <c r="AY72">
        <f t="shared" si="14"/>
        <v>186</v>
      </c>
      <c r="AZ72" t="e">
        <f t="shared" si="14"/>
        <v>#N/A</v>
      </c>
      <c r="BA72" t="e">
        <f t="shared" si="14"/>
        <v>#N/A</v>
      </c>
      <c r="BB72" t="e">
        <f t="shared" si="14"/>
        <v>#N/A</v>
      </c>
      <c r="BC72" s="13" t="e">
        <f t="shared" si="14"/>
        <v>#N/A</v>
      </c>
    </row>
    <row r="73" spans="2:55" x14ac:dyDescent="0.45">
      <c r="B73" s="11">
        <v>3</v>
      </c>
      <c r="C73" s="13">
        <v>63</v>
      </c>
      <c r="D73" s="15">
        <v>7</v>
      </c>
      <c r="E73" s="15">
        <v>0</v>
      </c>
      <c r="F73" s="15">
        <v>0</v>
      </c>
      <c r="G73" s="15">
        <v>0</v>
      </c>
      <c r="H73" s="16">
        <v>0</v>
      </c>
      <c r="I73">
        <f t="shared" si="3"/>
        <v>186</v>
      </c>
      <c r="J73">
        <f t="shared" si="2"/>
        <v>186</v>
      </c>
      <c r="K73">
        <f t="shared" si="4"/>
        <v>0</v>
      </c>
      <c r="L73" t="str">
        <f t="shared" si="5"/>
        <v/>
      </c>
      <c r="M73" s="13" t="str">
        <f t="shared" si="12"/>
        <v/>
      </c>
      <c r="AW73" s="12" t="e">
        <f t="shared" si="14"/>
        <v>#N/A</v>
      </c>
      <c r="AX73" t="e">
        <f t="shared" si="14"/>
        <v>#N/A</v>
      </c>
      <c r="AY73">
        <f t="shared" si="14"/>
        <v>186</v>
      </c>
      <c r="AZ73" t="e">
        <f t="shared" si="14"/>
        <v>#N/A</v>
      </c>
      <c r="BA73" t="e">
        <f t="shared" si="14"/>
        <v>#N/A</v>
      </c>
      <c r="BB73" t="e">
        <f t="shared" si="14"/>
        <v>#N/A</v>
      </c>
      <c r="BC73" s="13" t="e">
        <f t="shared" si="14"/>
        <v>#N/A</v>
      </c>
    </row>
    <row r="74" spans="2:55" x14ac:dyDescent="0.45">
      <c r="B74" s="11">
        <v>3</v>
      </c>
      <c r="C74" s="13">
        <v>64</v>
      </c>
      <c r="D74" s="8">
        <v>1</v>
      </c>
      <c r="E74" s="8">
        <v>1</v>
      </c>
      <c r="F74" s="8">
        <v>1</v>
      </c>
      <c r="G74" s="8">
        <v>159</v>
      </c>
      <c r="H74" s="10">
        <v>147</v>
      </c>
      <c r="I74">
        <f t="shared" si="3"/>
        <v>186</v>
      </c>
      <c r="J74">
        <f t="shared" si="2"/>
        <v>198</v>
      </c>
      <c r="K74">
        <f t="shared" si="4"/>
        <v>0</v>
      </c>
      <c r="L74">
        <f t="shared" si="5"/>
        <v>147</v>
      </c>
      <c r="M74" s="13" t="str">
        <f t="shared" si="12"/>
        <v/>
      </c>
      <c r="AW74" s="12" t="e">
        <f t="shared" si="14"/>
        <v>#N/A</v>
      </c>
      <c r="AX74" t="e">
        <f t="shared" si="14"/>
        <v>#N/A</v>
      </c>
      <c r="AY74">
        <f t="shared" si="14"/>
        <v>198</v>
      </c>
      <c r="AZ74" t="e">
        <f t="shared" si="14"/>
        <v>#N/A</v>
      </c>
      <c r="BA74" t="e">
        <f t="shared" si="14"/>
        <v>#N/A</v>
      </c>
      <c r="BB74" t="e">
        <f t="shared" si="14"/>
        <v>#N/A</v>
      </c>
      <c r="BC74" s="13" t="e">
        <f t="shared" si="14"/>
        <v>#N/A</v>
      </c>
    </row>
    <row r="75" spans="2:55" x14ac:dyDescent="0.45">
      <c r="B75" s="11">
        <v>3</v>
      </c>
      <c r="C75" s="13">
        <v>65</v>
      </c>
      <c r="D75">
        <v>2</v>
      </c>
      <c r="E75">
        <v>1</v>
      </c>
      <c r="F75">
        <v>1</v>
      </c>
      <c r="G75">
        <v>138</v>
      </c>
      <c r="H75" s="13">
        <v>136</v>
      </c>
      <c r="I75">
        <f t="shared" si="3"/>
        <v>198</v>
      </c>
      <c r="J75">
        <f t="shared" si="2"/>
        <v>200</v>
      </c>
      <c r="K75">
        <f t="shared" si="4"/>
        <v>0</v>
      </c>
      <c r="L75">
        <f t="shared" si="5"/>
        <v>136</v>
      </c>
      <c r="M75" s="13" t="str">
        <f t="shared" si="12"/>
        <v/>
      </c>
      <c r="AW75" s="12" t="e">
        <f t="shared" ref="AW75:BC90" si="15">IF($B75=AW$10,$J75,NA())</f>
        <v>#N/A</v>
      </c>
      <c r="AX75" t="e">
        <f t="shared" si="15"/>
        <v>#N/A</v>
      </c>
      <c r="AY75">
        <f t="shared" si="15"/>
        <v>200</v>
      </c>
      <c r="AZ75" t="e">
        <f t="shared" si="15"/>
        <v>#N/A</v>
      </c>
      <c r="BA75" t="e">
        <f t="shared" si="15"/>
        <v>#N/A</v>
      </c>
      <c r="BB75" t="e">
        <f t="shared" si="15"/>
        <v>#N/A</v>
      </c>
      <c r="BC75" s="13" t="e">
        <f t="shared" si="15"/>
        <v>#N/A</v>
      </c>
    </row>
    <row r="76" spans="2:55" x14ac:dyDescent="0.45">
      <c r="B76" s="11">
        <v>3</v>
      </c>
      <c r="C76" s="13">
        <v>66</v>
      </c>
      <c r="D76">
        <v>3</v>
      </c>
      <c r="E76">
        <v>1</v>
      </c>
      <c r="F76">
        <v>1</v>
      </c>
      <c r="G76">
        <v>169</v>
      </c>
      <c r="H76" s="13">
        <v>156</v>
      </c>
      <c r="I76">
        <f t="shared" si="3"/>
        <v>200</v>
      </c>
      <c r="J76">
        <f t="shared" ref="J76:J139" si="16">I76+G76-H76</f>
        <v>213</v>
      </c>
      <c r="K76">
        <f t="shared" si="4"/>
        <v>0</v>
      </c>
      <c r="L76">
        <f t="shared" si="5"/>
        <v>156</v>
      </c>
      <c r="M76" s="13" t="str">
        <f t="shared" si="12"/>
        <v/>
      </c>
      <c r="AW76" s="12" t="e">
        <f t="shared" si="15"/>
        <v>#N/A</v>
      </c>
      <c r="AX76" t="e">
        <f t="shared" si="15"/>
        <v>#N/A</v>
      </c>
      <c r="AY76">
        <f t="shared" si="15"/>
        <v>213</v>
      </c>
      <c r="AZ76" t="e">
        <f t="shared" si="15"/>
        <v>#N/A</v>
      </c>
      <c r="BA76" t="e">
        <f t="shared" si="15"/>
        <v>#N/A</v>
      </c>
      <c r="BB76" t="e">
        <f t="shared" si="15"/>
        <v>#N/A</v>
      </c>
      <c r="BC76" s="13" t="e">
        <f t="shared" si="15"/>
        <v>#N/A</v>
      </c>
    </row>
    <row r="77" spans="2:55" x14ac:dyDescent="0.45">
      <c r="B77" s="11">
        <v>3</v>
      </c>
      <c r="C77" s="13">
        <v>67</v>
      </c>
      <c r="D77">
        <v>4</v>
      </c>
      <c r="E77">
        <v>1</v>
      </c>
      <c r="F77">
        <v>1</v>
      </c>
      <c r="G77">
        <v>156</v>
      </c>
      <c r="H77" s="13">
        <v>72</v>
      </c>
      <c r="I77">
        <f t="shared" ref="I77:I140" si="17">J76</f>
        <v>213</v>
      </c>
      <c r="J77">
        <f t="shared" si="16"/>
        <v>297</v>
      </c>
      <c r="K77">
        <f t="shared" ref="K77:K140" si="18">IF(AND(H77=I77,F77=1),1,0)</f>
        <v>0</v>
      </c>
      <c r="L77">
        <f t="shared" ref="L77:L140" si="19">IF(OR(F77=0,K77=1),"",H77)</f>
        <v>72</v>
      </c>
      <c r="M77" s="13" t="str">
        <f t="shared" si="12"/>
        <v/>
      </c>
      <c r="AW77" s="12" t="e">
        <f t="shared" si="15"/>
        <v>#N/A</v>
      </c>
      <c r="AX77" t="e">
        <f t="shared" si="15"/>
        <v>#N/A</v>
      </c>
      <c r="AY77">
        <f t="shared" si="15"/>
        <v>297</v>
      </c>
      <c r="AZ77" t="e">
        <f t="shared" si="15"/>
        <v>#N/A</v>
      </c>
      <c r="BA77" t="e">
        <f t="shared" si="15"/>
        <v>#N/A</v>
      </c>
      <c r="BB77" t="e">
        <f t="shared" si="15"/>
        <v>#N/A</v>
      </c>
      <c r="BC77" s="13" t="e">
        <f t="shared" si="15"/>
        <v>#N/A</v>
      </c>
    </row>
    <row r="78" spans="2:55" x14ac:dyDescent="0.45">
      <c r="B78" s="11">
        <v>3</v>
      </c>
      <c r="C78" s="13">
        <v>68</v>
      </c>
      <c r="D78">
        <v>5</v>
      </c>
      <c r="E78">
        <v>1</v>
      </c>
      <c r="F78">
        <v>1</v>
      </c>
      <c r="G78">
        <v>143</v>
      </c>
      <c r="H78" s="13">
        <v>155</v>
      </c>
      <c r="I78">
        <f t="shared" si="17"/>
        <v>297</v>
      </c>
      <c r="J78">
        <f t="shared" si="16"/>
        <v>285</v>
      </c>
      <c r="K78">
        <f t="shared" si="18"/>
        <v>0</v>
      </c>
      <c r="L78">
        <f t="shared" si="19"/>
        <v>155</v>
      </c>
      <c r="M78" s="13" t="str">
        <f t="shared" si="12"/>
        <v/>
      </c>
      <c r="AW78" s="12" t="e">
        <f t="shared" si="15"/>
        <v>#N/A</v>
      </c>
      <c r="AX78" t="e">
        <f t="shared" si="15"/>
        <v>#N/A</v>
      </c>
      <c r="AY78">
        <f t="shared" si="15"/>
        <v>285</v>
      </c>
      <c r="AZ78" t="e">
        <f t="shared" si="15"/>
        <v>#N/A</v>
      </c>
      <c r="BA78" t="e">
        <f t="shared" si="15"/>
        <v>#N/A</v>
      </c>
      <c r="BB78" t="e">
        <f t="shared" si="15"/>
        <v>#N/A</v>
      </c>
      <c r="BC78" s="13" t="e">
        <f t="shared" si="15"/>
        <v>#N/A</v>
      </c>
    </row>
    <row r="79" spans="2:55" x14ac:dyDescent="0.45">
      <c r="B79" s="11">
        <v>3</v>
      </c>
      <c r="C79" s="13">
        <v>69</v>
      </c>
      <c r="D79">
        <v>6</v>
      </c>
      <c r="E79">
        <v>0</v>
      </c>
      <c r="F79">
        <v>0</v>
      </c>
      <c r="G79">
        <v>0</v>
      </c>
      <c r="H79" s="13">
        <v>0</v>
      </c>
      <c r="I79">
        <f t="shared" si="17"/>
        <v>285</v>
      </c>
      <c r="J79">
        <f t="shared" si="16"/>
        <v>285</v>
      </c>
      <c r="K79">
        <f t="shared" si="18"/>
        <v>0</v>
      </c>
      <c r="L79" t="str">
        <f t="shared" si="19"/>
        <v/>
      </c>
      <c r="M79" s="13" t="str">
        <f t="shared" si="12"/>
        <v/>
      </c>
      <c r="AW79" s="12" t="e">
        <f t="shared" si="15"/>
        <v>#N/A</v>
      </c>
      <c r="AX79" t="e">
        <f t="shared" si="15"/>
        <v>#N/A</v>
      </c>
      <c r="AY79">
        <f t="shared" si="15"/>
        <v>285</v>
      </c>
      <c r="AZ79" t="e">
        <f t="shared" si="15"/>
        <v>#N/A</v>
      </c>
      <c r="BA79" t="e">
        <f t="shared" si="15"/>
        <v>#N/A</v>
      </c>
      <c r="BB79" t="e">
        <f t="shared" si="15"/>
        <v>#N/A</v>
      </c>
      <c r="BC79" s="13" t="e">
        <f t="shared" si="15"/>
        <v>#N/A</v>
      </c>
    </row>
    <row r="80" spans="2:55" x14ac:dyDescent="0.45">
      <c r="B80" s="11">
        <v>3</v>
      </c>
      <c r="C80" s="13">
        <v>70</v>
      </c>
      <c r="D80" s="15">
        <v>7</v>
      </c>
      <c r="E80" s="15">
        <v>0</v>
      </c>
      <c r="F80" s="15">
        <v>0</v>
      </c>
      <c r="G80" s="15">
        <v>0</v>
      </c>
      <c r="H80" s="16">
        <v>0</v>
      </c>
      <c r="I80">
        <f t="shared" si="17"/>
        <v>285</v>
      </c>
      <c r="J80">
        <f t="shared" si="16"/>
        <v>285</v>
      </c>
      <c r="K80">
        <f t="shared" si="18"/>
        <v>0</v>
      </c>
      <c r="L80" t="str">
        <f t="shared" si="19"/>
        <v/>
      </c>
      <c r="M80" s="13" t="str">
        <f t="shared" si="12"/>
        <v/>
      </c>
      <c r="AW80" s="12" t="e">
        <f t="shared" si="15"/>
        <v>#N/A</v>
      </c>
      <c r="AX80" t="e">
        <f t="shared" si="15"/>
        <v>#N/A</v>
      </c>
      <c r="AY80">
        <f t="shared" si="15"/>
        <v>285</v>
      </c>
      <c r="AZ80" t="e">
        <f t="shared" si="15"/>
        <v>#N/A</v>
      </c>
      <c r="BA80" t="e">
        <f t="shared" si="15"/>
        <v>#N/A</v>
      </c>
      <c r="BB80" t="e">
        <f t="shared" si="15"/>
        <v>#N/A</v>
      </c>
      <c r="BC80" s="13" t="e">
        <f t="shared" si="15"/>
        <v>#N/A</v>
      </c>
    </row>
    <row r="81" spans="2:55" x14ac:dyDescent="0.45">
      <c r="B81" s="11">
        <v>3</v>
      </c>
      <c r="C81" s="13">
        <v>71</v>
      </c>
      <c r="D81" s="8">
        <v>1</v>
      </c>
      <c r="E81" s="8">
        <v>1</v>
      </c>
      <c r="F81" s="8">
        <v>1</v>
      </c>
      <c r="G81" s="8">
        <v>144</v>
      </c>
      <c r="H81" s="10">
        <v>160</v>
      </c>
      <c r="I81">
        <f t="shared" si="17"/>
        <v>285</v>
      </c>
      <c r="J81">
        <f t="shared" si="16"/>
        <v>269</v>
      </c>
      <c r="K81">
        <f t="shared" si="18"/>
        <v>0</v>
      </c>
      <c r="L81">
        <f t="shared" si="19"/>
        <v>160</v>
      </c>
      <c r="M81" s="13" t="str">
        <f t="shared" si="12"/>
        <v/>
      </c>
      <c r="AW81" s="12" t="e">
        <f t="shared" si="15"/>
        <v>#N/A</v>
      </c>
      <c r="AX81" t="e">
        <f t="shared" si="15"/>
        <v>#N/A</v>
      </c>
      <c r="AY81">
        <f t="shared" si="15"/>
        <v>269</v>
      </c>
      <c r="AZ81" t="e">
        <f t="shared" si="15"/>
        <v>#N/A</v>
      </c>
      <c r="BA81" t="e">
        <f t="shared" si="15"/>
        <v>#N/A</v>
      </c>
      <c r="BB81" t="e">
        <f t="shared" si="15"/>
        <v>#N/A</v>
      </c>
      <c r="BC81" s="13" t="e">
        <f t="shared" si="15"/>
        <v>#N/A</v>
      </c>
    </row>
    <row r="82" spans="2:55" x14ac:dyDescent="0.45">
      <c r="B82" s="11">
        <v>3</v>
      </c>
      <c r="C82" s="13">
        <v>72</v>
      </c>
      <c r="D82">
        <v>2</v>
      </c>
      <c r="E82">
        <v>1</v>
      </c>
      <c r="F82">
        <v>1</v>
      </c>
      <c r="G82">
        <v>142</v>
      </c>
      <c r="H82" s="13">
        <v>153</v>
      </c>
      <c r="I82">
        <f t="shared" si="17"/>
        <v>269</v>
      </c>
      <c r="J82">
        <f t="shared" si="16"/>
        <v>258</v>
      </c>
      <c r="K82">
        <f t="shared" si="18"/>
        <v>0</v>
      </c>
      <c r="L82">
        <f t="shared" si="19"/>
        <v>153</v>
      </c>
      <c r="M82" s="13" t="str">
        <f t="shared" si="12"/>
        <v/>
      </c>
      <c r="AW82" s="12" t="e">
        <f t="shared" si="15"/>
        <v>#N/A</v>
      </c>
      <c r="AX82" t="e">
        <f t="shared" si="15"/>
        <v>#N/A</v>
      </c>
      <c r="AY82">
        <f t="shared" si="15"/>
        <v>258</v>
      </c>
      <c r="AZ82" t="e">
        <f t="shared" si="15"/>
        <v>#N/A</v>
      </c>
      <c r="BA82" t="e">
        <f t="shared" si="15"/>
        <v>#N/A</v>
      </c>
      <c r="BB82" t="e">
        <f t="shared" si="15"/>
        <v>#N/A</v>
      </c>
      <c r="BC82" s="13" t="e">
        <f t="shared" si="15"/>
        <v>#N/A</v>
      </c>
    </row>
    <row r="83" spans="2:55" x14ac:dyDescent="0.45">
      <c r="B83" s="11">
        <v>3</v>
      </c>
      <c r="C83" s="13">
        <v>73</v>
      </c>
      <c r="D83">
        <v>3</v>
      </c>
      <c r="E83">
        <v>1</v>
      </c>
      <c r="F83">
        <v>1</v>
      </c>
      <c r="G83">
        <v>147</v>
      </c>
      <c r="H83" s="13">
        <v>161</v>
      </c>
      <c r="I83">
        <f t="shared" si="17"/>
        <v>258</v>
      </c>
      <c r="J83">
        <f t="shared" si="16"/>
        <v>244</v>
      </c>
      <c r="K83">
        <f t="shared" si="18"/>
        <v>0</v>
      </c>
      <c r="L83">
        <f t="shared" si="19"/>
        <v>161</v>
      </c>
      <c r="M83" s="13" t="str">
        <f t="shared" si="12"/>
        <v/>
      </c>
      <c r="AW83" s="12" t="e">
        <f t="shared" si="15"/>
        <v>#N/A</v>
      </c>
      <c r="AX83" t="e">
        <f t="shared" si="15"/>
        <v>#N/A</v>
      </c>
      <c r="AY83">
        <f t="shared" si="15"/>
        <v>244</v>
      </c>
      <c r="AZ83" t="e">
        <f t="shared" si="15"/>
        <v>#N/A</v>
      </c>
      <c r="BA83" t="e">
        <f t="shared" si="15"/>
        <v>#N/A</v>
      </c>
      <c r="BB83" t="e">
        <f t="shared" si="15"/>
        <v>#N/A</v>
      </c>
      <c r="BC83" s="13" t="e">
        <f t="shared" si="15"/>
        <v>#N/A</v>
      </c>
    </row>
    <row r="84" spans="2:55" x14ac:dyDescent="0.45">
      <c r="B84" s="11">
        <v>3</v>
      </c>
      <c r="C84" s="13">
        <v>74</v>
      </c>
      <c r="D84">
        <v>4</v>
      </c>
      <c r="E84">
        <v>1</v>
      </c>
      <c r="F84">
        <v>1</v>
      </c>
      <c r="G84">
        <v>140</v>
      </c>
      <c r="H84" s="13">
        <v>129</v>
      </c>
      <c r="I84">
        <f t="shared" si="17"/>
        <v>244</v>
      </c>
      <c r="J84">
        <f t="shared" si="16"/>
        <v>255</v>
      </c>
      <c r="K84">
        <f t="shared" si="18"/>
        <v>0</v>
      </c>
      <c r="L84">
        <f t="shared" si="19"/>
        <v>129</v>
      </c>
      <c r="M84" s="13" t="str">
        <f t="shared" si="12"/>
        <v/>
      </c>
      <c r="AW84" s="12" t="e">
        <f t="shared" si="15"/>
        <v>#N/A</v>
      </c>
      <c r="AX84" t="e">
        <f t="shared" si="15"/>
        <v>#N/A</v>
      </c>
      <c r="AY84">
        <f t="shared" si="15"/>
        <v>255</v>
      </c>
      <c r="AZ84" t="e">
        <f t="shared" si="15"/>
        <v>#N/A</v>
      </c>
      <c r="BA84" t="e">
        <f t="shared" si="15"/>
        <v>#N/A</v>
      </c>
      <c r="BB84" t="e">
        <f t="shared" si="15"/>
        <v>#N/A</v>
      </c>
      <c r="BC84" s="13" t="e">
        <f t="shared" si="15"/>
        <v>#N/A</v>
      </c>
    </row>
    <row r="85" spans="2:55" x14ac:dyDescent="0.45">
      <c r="B85" s="11">
        <v>3</v>
      </c>
      <c r="C85" s="13">
        <v>75</v>
      </c>
      <c r="D85">
        <v>5</v>
      </c>
      <c r="E85">
        <v>1</v>
      </c>
      <c r="F85">
        <v>1</v>
      </c>
      <c r="G85">
        <v>161</v>
      </c>
      <c r="H85" s="13">
        <v>148</v>
      </c>
      <c r="I85">
        <f t="shared" si="17"/>
        <v>255</v>
      </c>
      <c r="J85">
        <f t="shared" si="16"/>
        <v>268</v>
      </c>
      <c r="K85">
        <f t="shared" si="18"/>
        <v>0</v>
      </c>
      <c r="L85">
        <f t="shared" si="19"/>
        <v>148</v>
      </c>
      <c r="M85" s="13" t="str">
        <f t="shared" si="12"/>
        <v/>
      </c>
      <c r="AW85" s="12" t="e">
        <f t="shared" si="15"/>
        <v>#N/A</v>
      </c>
      <c r="AX85" t="e">
        <f t="shared" si="15"/>
        <v>#N/A</v>
      </c>
      <c r="AY85">
        <f t="shared" si="15"/>
        <v>268</v>
      </c>
      <c r="AZ85" t="e">
        <f t="shared" si="15"/>
        <v>#N/A</v>
      </c>
      <c r="BA85" t="e">
        <f t="shared" si="15"/>
        <v>#N/A</v>
      </c>
      <c r="BB85" t="e">
        <f t="shared" si="15"/>
        <v>#N/A</v>
      </c>
      <c r="BC85" s="13" t="e">
        <f t="shared" si="15"/>
        <v>#N/A</v>
      </c>
    </row>
    <row r="86" spans="2:55" x14ac:dyDescent="0.45">
      <c r="B86" s="11">
        <v>3</v>
      </c>
      <c r="C86" s="13">
        <v>76</v>
      </c>
      <c r="D86">
        <v>6</v>
      </c>
      <c r="E86">
        <v>0</v>
      </c>
      <c r="F86">
        <v>0</v>
      </c>
      <c r="G86">
        <v>0</v>
      </c>
      <c r="H86" s="13">
        <v>0</v>
      </c>
      <c r="I86">
        <f t="shared" si="17"/>
        <v>268</v>
      </c>
      <c r="J86">
        <f t="shared" si="16"/>
        <v>268</v>
      </c>
      <c r="K86">
        <f t="shared" si="18"/>
        <v>0</v>
      </c>
      <c r="L86" t="str">
        <f t="shared" si="19"/>
        <v/>
      </c>
      <c r="M86" s="13" t="str">
        <f t="shared" si="12"/>
        <v/>
      </c>
      <c r="AW86" s="12" t="e">
        <f t="shared" si="15"/>
        <v>#N/A</v>
      </c>
      <c r="AX86" t="e">
        <f t="shared" si="15"/>
        <v>#N/A</v>
      </c>
      <c r="AY86">
        <f t="shared" si="15"/>
        <v>268</v>
      </c>
      <c r="AZ86" t="e">
        <f t="shared" si="15"/>
        <v>#N/A</v>
      </c>
      <c r="BA86" t="e">
        <f t="shared" si="15"/>
        <v>#N/A</v>
      </c>
      <c r="BB86" t="e">
        <f t="shared" si="15"/>
        <v>#N/A</v>
      </c>
      <c r="BC86" s="13" t="e">
        <f t="shared" si="15"/>
        <v>#N/A</v>
      </c>
    </row>
    <row r="87" spans="2:55" x14ac:dyDescent="0.45">
      <c r="B87" s="11">
        <v>3</v>
      </c>
      <c r="C87" s="13">
        <v>77</v>
      </c>
      <c r="D87" s="15">
        <v>7</v>
      </c>
      <c r="E87" s="15">
        <v>0</v>
      </c>
      <c r="F87" s="15">
        <v>0</v>
      </c>
      <c r="G87" s="15">
        <v>0</v>
      </c>
      <c r="H87" s="16">
        <v>0</v>
      </c>
      <c r="I87">
        <f t="shared" si="17"/>
        <v>268</v>
      </c>
      <c r="J87">
        <f t="shared" si="16"/>
        <v>268</v>
      </c>
      <c r="K87">
        <f t="shared" si="18"/>
        <v>0</v>
      </c>
      <c r="L87" t="str">
        <f t="shared" si="19"/>
        <v/>
      </c>
      <c r="M87" s="13" t="str">
        <f t="shared" si="12"/>
        <v/>
      </c>
      <c r="AW87" s="12" t="e">
        <f t="shared" si="15"/>
        <v>#N/A</v>
      </c>
      <c r="AX87" t="e">
        <f t="shared" si="15"/>
        <v>#N/A</v>
      </c>
      <c r="AY87">
        <f t="shared" si="15"/>
        <v>268</v>
      </c>
      <c r="AZ87" t="e">
        <f t="shared" si="15"/>
        <v>#N/A</v>
      </c>
      <c r="BA87" t="e">
        <f t="shared" si="15"/>
        <v>#N/A</v>
      </c>
      <c r="BB87" t="e">
        <f t="shared" si="15"/>
        <v>#N/A</v>
      </c>
      <c r="BC87" s="13" t="e">
        <f t="shared" si="15"/>
        <v>#N/A</v>
      </c>
    </row>
    <row r="88" spans="2:55" x14ac:dyDescent="0.45">
      <c r="B88" s="11">
        <v>3</v>
      </c>
      <c r="C88" s="13">
        <v>78</v>
      </c>
      <c r="D88" s="8">
        <v>1</v>
      </c>
      <c r="E88" s="8">
        <v>1</v>
      </c>
      <c r="F88" s="8">
        <v>1</v>
      </c>
      <c r="G88" s="8">
        <v>75</v>
      </c>
      <c r="H88" s="10">
        <v>146</v>
      </c>
      <c r="I88">
        <f t="shared" si="17"/>
        <v>268</v>
      </c>
      <c r="J88">
        <f t="shared" si="16"/>
        <v>197</v>
      </c>
      <c r="K88">
        <f t="shared" si="18"/>
        <v>0</v>
      </c>
      <c r="L88">
        <f t="shared" si="19"/>
        <v>146</v>
      </c>
      <c r="M88" s="13" t="str">
        <f t="shared" si="12"/>
        <v/>
      </c>
      <c r="AW88" s="12" t="e">
        <f t="shared" si="15"/>
        <v>#N/A</v>
      </c>
      <c r="AX88" t="e">
        <f t="shared" si="15"/>
        <v>#N/A</v>
      </c>
      <c r="AY88">
        <f t="shared" si="15"/>
        <v>197</v>
      </c>
      <c r="AZ88" t="e">
        <f t="shared" si="15"/>
        <v>#N/A</v>
      </c>
      <c r="BA88" t="e">
        <f t="shared" si="15"/>
        <v>#N/A</v>
      </c>
      <c r="BB88" t="e">
        <f t="shared" si="15"/>
        <v>#N/A</v>
      </c>
      <c r="BC88" s="13" t="e">
        <f t="shared" si="15"/>
        <v>#N/A</v>
      </c>
    </row>
    <row r="89" spans="2:55" x14ac:dyDescent="0.45">
      <c r="B89" s="11">
        <v>3</v>
      </c>
      <c r="C89" s="13">
        <v>79</v>
      </c>
      <c r="D89">
        <v>2</v>
      </c>
      <c r="E89">
        <v>1</v>
      </c>
      <c r="F89">
        <v>1</v>
      </c>
      <c r="G89">
        <v>193</v>
      </c>
      <c r="H89" s="13">
        <v>133</v>
      </c>
      <c r="I89">
        <f t="shared" si="17"/>
        <v>197</v>
      </c>
      <c r="J89">
        <f t="shared" si="16"/>
        <v>257</v>
      </c>
      <c r="K89">
        <f t="shared" si="18"/>
        <v>0</v>
      </c>
      <c r="L89">
        <f t="shared" si="19"/>
        <v>133</v>
      </c>
      <c r="M89" s="13" t="str">
        <f t="shared" si="12"/>
        <v/>
      </c>
      <c r="AW89" s="12" t="e">
        <f t="shared" si="15"/>
        <v>#N/A</v>
      </c>
      <c r="AX89" t="e">
        <f t="shared" si="15"/>
        <v>#N/A</v>
      </c>
      <c r="AY89">
        <f t="shared" si="15"/>
        <v>257</v>
      </c>
      <c r="AZ89" t="e">
        <f t="shared" si="15"/>
        <v>#N/A</v>
      </c>
      <c r="BA89" t="e">
        <f t="shared" si="15"/>
        <v>#N/A</v>
      </c>
      <c r="BB89" t="e">
        <f t="shared" si="15"/>
        <v>#N/A</v>
      </c>
      <c r="BC89" s="13" t="e">
        <f t="shared" si="15"/>
        <v>#N/A</v>
      </c>
    </row>
    <row r="90" spans="2:55" x14ac:dyDescent="0.45">
      <c r="B90" s="11">
        <v>3</v>
      </c>
      <c r="C90" s="13">
        <v>80</v>
      </c>
      <c r="D90">
        <v>3</v>
      </c>
      <c r="E90">
        <v>1</v>
      </c>
      <c r="F90">
        <v>1</v>
      </c>
      <c r="G90">
        <v>160</v>
      </c>
      <c r="H90" s="13">
        <v>154</v>
      </c>
      <c r="I90">
        <f t="shared" si="17"/>
        <v>257</v>
      </c>
      <c r="J90">
        <f t="shared" si="16"/>
        <v>263</v>
      </c>
      <c r="K90">
        <f t="shared" si="18"/>
        <v>0</v>
      </c>
      <c r="L90">
        <f t="shared" si="19"/>
        <v>154</v>
      </c>
      <c r="M90" s="13" t="str">
        <f t="shared" si="12"/>
        <v/>
      </c>
      <c r="AW90" s="12" t="e">
        <f t="shared" si="15"/>
        <v>#N/A</v>
      </c>
      <c r="AX90" t="e">
        <f t="shared" si="15"/>
        <v>#N/A</v>
      </c>
      <c r="AY90">
        <f t="shared" si="15"/>
        <v>263</v>
      </c>
      <c r="AZ90" t="e">
        <f t="shared" si="15"/>
        <v>#N/A</v>
      </c>
      <c r="BA90" t="e">
        <f t="shared" si="15"/>
        <v>#N/A</v>
      </c>
      <c r="BB90" t="e">
        <f t="shared" si="15"/>
        <v>#N/A</v>
      </c>
      <c r="BC90" s="13" t="e">
        <f t="shared" si="15"/>
        <v>#N/A</v>
      </c>
    </row>
    <row r="91" spans="2:55" x14ac:dyDescent="0.45">
      <c r="B91" s="11">
        <v>3</v>
      </c>
      <c r="C91" s="13">
        <v>81</v>
      </c>
      <c r="D91">
        <v>4</v>
      </c>
      <c r="E91">
        <v>1</v>
      </c>
      <c r="F91">
        <v>1</v>
      </c>
      <c r="G91">
        <v>147</v>
      </c>
      <c r="H91" s="13">
        <v>160</v>
      </c>
      <c r="I91">
        <f t="shared" si="17"/>
        <v>263</v>
      </c>
      <c r="J91">
        <f t="shared" si="16"/>
        <v>250</v>
      </c>
      <c r="K91">
        <f t="shared" si="18"/>
        <v>0</v>
      </c>
      <c r="L91">
        <f t="shared" si="19"/>
        <v>160</v>
      </c>
      <c r="M91" s="13" t="str">
        <f t="shared" si="12"/>
        <v/>
      </c>
      <c r="AW91" s="12" t="e">
        <f t="shared" ref="AW91:BC106" si="20">IF($B91=AW$10,$J91,NA())</f>
        <v>#N/A</v>
      </c>
      <c r="AX91" t="e">
        <f t="shared" si="20"/>
        <v>#N/A</v>
      </c>
      <c r="AY91">
        <f t="shared" si="20"/>
        <v>250</v>
      </c>
      <c r="AZ91" t="e">
        <f t="shared" si="20"/>
        <v>#N/A</v>
      </c>
      <c r="BA91" t="e">
        <f t="shared" si="20"/>
        <v>#N/A</v>
      </c>
      <c r="BB91" t="e">
        <f t="shared" si="20"/>
        <v>#N/A</v>
      </c>
      <c r="BC91" s="13" t="e">
        <f t="shared" si="20"/>
        <v>#N/A</v>
      </c>
    </row>
    <row r="92" spans="2:55" x14ac:dyDescent="0.45">
      <c r="B92" s="11">
        <v>3</v>
      </c>
      <c r="C92" s="13">
        <v>82</v>
      </c>
      <c r="D92">
        <v>5</v>
      </c>
      <c r="E92">
        <v>1</v>
      </c>
      <c r="F92">
        <v>1</v>
      </c>
      <c r="G92">
        <v>146</v>
      </c>
      <c r="H92" s="13">
        <v>159</v>
      </c>
      <c r="I92">
        <f t="shared" si="17"/>
        <v>250</v>
      </c>
      <c r="J92">
        <f t="shared" si="16"/>
        <v>237</v>
      </c>
      <c r="K92">
        <f t="shared" si="18"/>
        <v>0</v>
      </c>
      <c r="L92">
        <f t="shared" si="19"/>
        <v>159</v>
      </c>
      <c r="M92" s="13" t="str">
        <f t="shared" si="12"/>
        <v/>
      </c>
      <c r="AW92" s="12" t="e">
        <f t="shared" si="20"/>
        <v>#N/A</v>
      </c>
      <c r="AX92" t="e">
        <f t="shared" si="20"/>
        <v>#N/A</v>
      </c>
      <c r="AY92">
        <f t="shared" si="20"/>
        <v>237</v>
      </c>
      <c r="AZ92" t="e">
        <f t="shared" si="20"/>
        <v>#N/A</v>
      </c>
      <c r="BA92" t="e">
        <f t="shared" si="20"/>
        <v>#N/A</v>
      </c>
      <c r="BB92" t="e">
        <f t="shared" si="20"/>
        <v>#N/A</v>
      </c>
      <c r="BC92" s="13" t="e">
        <f t="shared" si="20"/>
        <v>#N/A</v>
      </c>
    </row>
    <row r="93" spans="2:55" x14ac:dyDescent="0.45">
      <c r="B93" s="11">
        <v>3</v>
      </c>
      <c r="C93" s="13">
        <v>83</v>
      </c>
      <c r="D93">
        <v>6</v>
      </c>
      <c r="E93">
        <v>0</v>
      </c>
      <c r="F93">
        <v>0</v>
      </c>
      <c r="G93">
        <v>0</v>
      </c>
      <c r="H93" s="13">
        <v>0</v>
      </c>
      <c r="I93">
        <f t="shared" si="17"/>
        <v>237</v>
      </c>
      <c r="J93">
        <f t="shared" si="16"/>
        <v>237</v>
      </c>
      <c r="K93">
        <f t="shared" si="18"/>
        <v>0</v>
      </c>
      <c r="L93" t="str">
        <f t="shared" si="19"/>
        <v/>
      </c>
      <c r="M93" s="13" t="str">
        <f t="shared" si="12"/>
        <v/>
      </c>
      <c r="AW93" s="12" t="e">
        <f t="shared" si="20"/>
        <v>#N/A</v>
      </c>
      <c r="AX93" t="e">
        <f t="shared" si="20"/>
        <v>#N/A</v>
      </c>
      <c r="AY93">
        <f t="shared" si="20"/>
        <v>237</v>
      </c>
      <c r="AZ93" t="e">
        <f t="shared" si="20"/>
        <v>#N/A</v>
      </c>
      <c r="BA93" t="e">
        <f t="shared" si="20"/>
        <v>#N/A</v>
      </c>
      <c r="BB93" t="e">
        <f t="shared" si="20"/>
        <v>#N/A</v>
      </c>
      <c r="BC93" s="13" t="e">
        <f t="shared" si="20"/>
        <v>#N/A</v>
      </c>
    </row>
    <row r="94" spans="2:55" x14ac:dyDescent="0.45">
      <c r="B94" s="17">
        <v>3</v>
      </c>
      <c r="C94" s="13">
        <v>84</v>
      </c>
      <c r="D94" s="15">
        <v>7</v>
      </c>
      <c r="E94" s="15">
        <v>0</v>
      </c>
      <c r="F94" s="15">
        <v>0</v>
      </c>
      <c r="G94" s="15">
        <v>0</v>
      </c>
      <c r="H94" s="16">
        <v>0</v>
      </c>
      <c r="I94">
        <f t="shared" si="17"/>
        <v>237</v>
      </c>
      <c r="J94">
        <f t="shared" si="16"/>
        <v>237</v>
      </c>
      <c r="K94">
        <f t="shared" si="18"/>
        <v>0</v>
      </c>
      <c r="L94" t="str">
        <f t="shared" si="19"/>
        <v/>
      </c>
      <c r="M94" s="13">
        <f t="shared" si="12"/>
        <v>110</v>
      </c>
      <c r="AW94" s="12" t="e">
        <f t="shared" si="20"/>
        <v>#N/A</v>
      </c>
      <c r="AX94" t="e">
        <f t="shared" si="20"/>
        <v>#N/A</v>
      </c>
      <c r="AY94">
        <f t="shared" si="20"/>
        <v>237</v>
      </c>
      <c r="AZ94" t="e">
        <f t="shared" si="20"/>
        <v>#N/A</v>
      </c>
      <c r="BA94" t="e">
        <f t="shared" si="20"/>
        <v>#N/A</v>
      </c>
      <c r="BB94" t="e">
        <f t="shared" si="20"/>
        <v>#N/A</v>
      </c>
      <c r="BC94" s="13" t="e">
        <f t="shared" si="20"/>
        <v>#N/A</v>
      </c>
    </row>
    <row r="95" spans="2:55" x14ac:dyDescent="0.45">
      <c r="B95" s="7">
        <v>4</v>
      </c>
      <c r="C95" s="13">
        <v>85</v>
      </c>
      <c r="D95" s="8">
        <v>1</v>
      </c>
      <c r="E95" s="8">
        <v>1</v>
      </c>
      <c r="F95" s="8">
        <v>1</v>
      </c>
      <c r="G95" s="8">
        <v>152</v>
      </c>
      <c r="H95" s="10">
        <v>0</v>
      </c>
      <c r="I95">
        <f t="shared" si="17"/>
        <v>237</v>
      </c>
      <c r="J95">
        <f t="shared" si="16"/>
        <v>389</v>
      </c>
      <c r="K95">
        <f t="shared" si="18"/>
        <v>0</v>
      </c>
      <c r="L95">
        <f t="shared" si="19"/>
        <v>0</v>
      </c>
      <c r="M95" s="13" t="str">
        <f t="shared" si="12"/>
        <v/>
      </c>
      <c r="AW95" s="12" t="e">
        <f t="shared" si="20"/>
        <v>#N/A</v>
      </c>
      <c r="AX95" t="e">
        <f t="shared" si="20"/>
        <v>#N/A</v>
      </c>
      <c r="AY95" t="e">
        <f t="shared" si="20"/>
        <v>#N/A</v>
      </c>
      <c r="AZ95">
        <f t="shared" si="20"/>
        <v>389</v>
      </c>
      <c r="BA95" t="e">
        <f t="shared" si="20"/>
        <v>#N/A</v>
      </c>
      <c r="BB95" t="e">
        <f t="shared" si="20"/>
        <v>#N/A</v>
      </c>
      <c r="BC95" s="13" t="e">
        <f t="shared" si="20"/>
        <v>#N/A</v>
      </c>
    </row>
    <row r="96" spans="2:55" x14ac:dyDescent="0.45">
      <c r="B96" s="11">
        <v>4</v>
      </c>
      <c r="C96" s="13">
        <v>86</v>
      </c>
      <c r="D96">
        <v>2</v>
      </c>
      <c r="E96">
        <v>1</v>
      </c>
      <c r="F96">
        <v>1</v>
      </c>
      <c r="G96">
        <v>161</v>
      </c>
      <c r="H96" s="13">
        <v>160</v>
      </c>
      <c r="I96">
        <f t="shared" si="17"/>
        <v>389</v>
      </c>
      <c r="J96">
        <f t="shared" si="16"/>
        <v>390</v>
      </c>
      <c r="K96">
        <f t="shared" si="18"/>
        <v>0</v>
      </c>
      <c r="L96">
        <f t="shared" si="19"/>
        <v>160</v>
      </c>
      <c r="M96" s="13" t="str">
        <f t="shared" si="12"/>
        <v/>
      </c>
      <c r="AW96" s="12" t="e">
        <f t="shared" si="20"/>
        <v>#N/A</v>
      </c>
      <c r="AX96" t="e">
        <f t="shared" si="20"/>
        <v>#N/A</v>
      </c>
      <c r="AY96" t="e">
        <f t="shared" si="20"/>
        <v>#N/A</v>
      </c>
      <c r="AZ96">
        <f t="shared" si="20"/>
        <v>390</v>
      </c>
      <c r="BA96" t="e">
        <f t="shared" si="20"/>
        <v>#N/A</v>
      </c>
      <c r="BB96" t="e">
        <f t="shared" si="20"/>
        <v>#N/A</v>
      </c>
      <c r="BC96" s="13" t="e">
        <f t="shared" si="20"/>
        <v>#N/A</v>
      </c>
    </row>
    <row r="97" spans="2:55" x14ac:dyDescent="0.45">
      <c r="B97" s="11">
        <v>4</v>
      </c>
      <c r="C97" s="13">
        <v>87</v>
      </c>
      <c r="D97">
        <v>3</v>
      </c>
      <c r="E97">
        <v>1</v>
      </c>
      <c r="F97">
        <v>1</v>
      </c>
      <c r="G97">
        <v>151</v>
      </c>
      <c r="H97" s="13">
        <v>155</v>
      </c>
      <c r="I97">
        <f t="shared" si="17"/>
        <v>390</v>
      </c>
      <c r="J97">
        <f t="shared" si="16"/>
        <v>386</v>
      </c>
      <c r="K97">
        <f t="shared" si="18"/>
        <v>0</v>
      </c>
      <c r="L97">
        <f t="shared" si="19"/>
        <v>155</v>
      </c>
      <c r="M97" s="13" t="str">
        <f t="shared" si="12"/>
        <v/>
      </c>
      <c r="AW97" s="12" t="e">
        <f t="shared" si="20"/>
        <v>#N/A</v>
      </c>
      <c r="AX97" t="e">
        <f t="shared" si="20"/>
        <v>#N/A</v>
      </c>
      <c r="AY97" t="e">
        <f t="shared" si="20"/>
        <v>#N/A</v>
      </c>
      <c r="AZ97">
        <f t="shared" si="20"/>
        <v>386</v>
      </c>
      <c r="BA97" t="e">
        <f t="shared" si="20"/>
        <v>#N/A</v>
      </c>
      <c r="BB97" t="e">
        <f t="shared" si="20"/>
        <v>#N/A</v>
      </c>
      <c r="BC97" s="13" t="e">
        <f t="shared" si="20"/>
        <v>#N/A</v>
      </c>
    </row>
    <row r="98" spans="2:55" x14ac:dyDescent="0.45">
      <c r="B98" s="11">
        <v>4</v>
      </c>
      <c r="C98" s="13">
        <v>88</v>
      </c>
      <c r="D98">
        <v>4</v>
      </c>
      <c r="E98">
        <v>1</v>
      </c>
      <c r="F98">
        <v>1</v>
      </c>
      <c r="G98">
        <v>161</v>
      </c>
      <c r="H98" s="13">
        <v>159</v>
      </c>
      <c r="I98">
        <f t="shared" si="17"/>
        <v>386</v>
      </c>
      <c r="J98">
        <f t="shared" si="16"/>
        <v>388</v>
      </c>
      <c r="K98">
        <f t="shared" si="18"/>
        <v>0</v>
      </c>
      <c r="L98">
        <f t="shared" si="19"/>
        <v>159</v>
      </c>
      <c r="M98" s="13" t="str">
        <f t="shared" si="12"/>
        <v/>
      </c>
      <c r="AW98" s="12" t="e">
        <f t="shared" si="20"/>
        <v>#N/A</v>
      </c>
      <c r="AX98" t="e">
        <f t="shared" si="20"/>
        <v>#N/A</v>
      </c>
      <c r="AY98" t="e">
        <f t="shared" si="20"/>
        <v>#N/A</v>
      </c>
      <c r="AZ98">
        <f t="shared" si="20"/>
        <v>388</v>
      </c>
      <c r="BA98" t="e">
        <f t="shared" si="20"/>
        <v>#N/A</v>
      </c>
      <c r="BB98" t="e">
        <f t="shared" si="20"/>
        <v>#N/A</v>
      </c>
      <c r="BC98" s="13" t="e">
        <f t="shared" si="20"/>
        <v>#N/A</v>
      </c>
    </row>
    <row r="99" spans="2:55" x14ac:dyDescent="0.45">
      <c r="B99" s="11">
        <v>4</v>
      </c>
      <c r="C99" s="13">
        <v>89</v>
      </c>
      <c r="D99">
        <v>5</v>
      </c>
      <c r="E99">
        <v>1</v>
      </c>
      <c r="F99">
        <v>1</v>
      </c>
      <c r="G99">
        <v>169</v>
      </c>
      <c r="H99" s="13">
        <v>161</v>
      </c>
      <c r="I99">
        <f t="shared" si="17"/>
        <v>388</v>
      </c>
      <c r="J99">
        <f t="shared" si="16"/>
        <v>396</v>
      </c>
      <c r="K99">
        <f t="shared" si="18"/>
        <v>0</v>
      </c>
      <c r="L99">
        <f t="shared" si="19"/>
        <v>161</v>
      </c>
      <c r="M99" s="13" t="str">
        <f t="shared" si="12"/>
        <v/>
      </c>
      <c r="AW99" s="12" t="e">
        <f t="shared" si="20"/>
        <v>#N/A</v>
      </c>
      <c r="AX99" t="e">
        <f t="shared" si="20"/>
        <v>#N/A</v>
      </c>
      <c r="AY99" t="e">
        <f t="shared" si="20"/>
        <v>#N/A</v>
      </c>
      <c r="AZ99">
        <f t="shared" si="20"/>
        <v>396</v>
      </c>
      <c r="BA99" t="e">
        <f t="shared" si="20"/>
        <v>#N/A</v>
      </c>
      <c r="BB99" t="e">
        <f t="shared" si="20"/>
        <v>#N/A</v>
      </c>
      <c r="BC99" s="13" t="e">
        <f t="shared" si="20"/>
        <v>#N/A</v>
      </c>
    </row>
    <row r="100" spans="2:55" x14ac:dyDescent="0.45">
      <c r="B100" s="11">
        <v>4</v>
      </c>
      <c r="C100" s="13">
        <v>90</v>
      </c>
      <c r="D100">
        <v>6</v>
      </c>
      <c r="E100">
        <v>0</v>
      </c>
      <c r="F100">
        <v>0</v>
      </c>
      <c r="G100">
        <v>0</v>
      </c>
      <c r="H100" s="13">
        <v>0</v>
      </c>
      <c r="I100">
        <f t="shared" si="17"/>
        <v>396</v>
      </c>
      <c r="J100">
        <f t="shared" si="16"/>
        <v>396</v>
      </c>
      <c r="K100">
        <f t="shared" si="18"/>
        <v>0</v>
      </c>
      <c r="L100" t="str">
        <f t="shared" si="19"/>
        <v/>
      </c>
      <c r="M100" s="13" t="str">
        <f t="shared" si="12"/>
        <v/>
      </c>
      <c r="AW100" s="12" t="e">
        <f t="shared" si="20"/>
        <v>#N/A</v>
      </c>
      <c r="AX100" t="e">
        <f t="shared" si="20"/>
        <v>#N/A</v>
      </c>
      <c r="AY100" t="e">
        <f t="shared" si="20"/>
        <v>#N/A</v>
      </c>
      <c r="AZ100">
        <f t="shared" si="20"/>
        <v>396</v>
      </c>
      <c r="BA100" t="e">
        <f t="shared" si="20"/>
        <v>#N/A</v>
      </c>
      <c r="BB100" t="e">
        <f t="shared" si="20"/>
        <v>#N/A</v>
      </c>
      <c r="BC100" s="13" t="e">
        <f t="shared" si="20"/>
        <v>#N/A</v>
      </c>
    </row>
    <row r="101" spans="2:55" x14ac:dyDescent="0.45">
      <c r="B101" s="11">
        <v>4</v>
      </c>
      <c r="C101" s="13">
        <v>91</v>
      </c>
      <c r="D101" s="15">
        <v>7</v>
      </c>
      <c r="E101" s="15">
        <v>0</v>
      </c>
      <c r="F101" s="15">
        <v>0</v>
      </c>
      <c r="G101" s="15">
        <v>0</v>
      </c>
      <c r="H101" s="16">
        <v>0</v>
      </c>
      <c r="I101">
        <f t="shared" si="17"/>
        <v>396</v>
      </c>
      <c r="J101">
        <f t="shared" si="16"/>
        <v>396</v>
      </c>
      <c r="K101">
        <f t="shared" si="18"/>
        <v>0</v>
      </c>
      <c r="L101" t="str">
        <f t="shared" si="19"/>
        <v/>
      </c>
      <c r="M101" s="13" t="str">
        <f t="shared" si="12"/>
        <v/>
      </c>
      <c r="AW101" s="12" t="e">
        <f t="shared" si="20"/>
        <v>#N/A</v>
      </c>
      <c r="AX101" t="e">
        <f t="shared" si="20"/>
        <v>#N/A</v>
      </c>
      <c r="AY101" t="e">
        <f t="shared" si="20"/>
        <v>#N/A</v>
      </c>
      <c r="AZ101">
        <f t="shared" si="20"/>
        <v>396</v>
      </c>
      <c r="BA101" t="e">
        <f t="shared" si="20"/>
        <v>#N/A</v>
      </c>
      <c r="BB101" t="e">
        <f t="shared" si="20"/>
        <v>#N/A</v>
      </c>
      <c r="BC101" s="13" t="e">
        <f t="shared" si="20"/>
        <v>#N/A</v>
      </c>
    </row>
    <row r="102" spans="2:55" x14ac:dyDescent="0.45">
      <c r="B102" s="11">
        <v>4</v>
      </c>
      <c r="C102" s="13">
        <v>92</v>
      </c>
      <c r="D102" s="8">
        <v>1</v>
      </c>
      <c r="E102" s="8">
        <v>1</v>
      </c>
      <c r="F102" s="8">
        <v>1</v>
      </c>
      <c r="G102" s="8">
        <v>140</v>
      </c>
      <c r="H102" s="10">
        <v>163</v>
      </c>
      <c r="I102">
        <f t="shared" si="17"/>
        <v>396</v>
      </c>
      <c r="J102">
        <f t="shared" si="16"/>
        <v>373</v>
      </c>
      <c r="K102">
        <f t="shared" si="18"/>
        <v>0</v>
      </c>
      <c r="L102">
        <f t="shared" si="19"/>
        <v>163</v>
      </c>
      <c r="M102" s="13" t="str">
        <f t="shared" si="12"/>
        <v/>
      </c>
      <c r="AW102" s="12" t="e">
        <f t="shared" si="20"/>
        <v>#N/A</v>
      </c>
      <c r="AX102" t="e">
        <f t="shared" si="20"/>
        <v>#N/A</v>
      </c>
      <c r="AY102" t="e">
        <f t="shared" si="20"/>
        <v>#N/A</v>
      </c>
      <c r="AZ102">
        <f t="shared" si="20"/>
        <v>373</v>
      </c>
      <c r="BA102" t="e">
        <f t="shared" si="20"/>
        <v>#N/A</v>
      </c>
      <c r="BB102" t="e">
        <f t="shared" si="20"/>
        <v>#N/A</v>
      </c>
      <c r="BC102" s="13" t="e">
        <f t="shared" si="20"/>
        <v>#N/A</v>
      </c>
    </row>
    <row r="103" spans="2:55" x14ac:dyDescent="0.45">
      <c r="B103" s="11">
        <v>4</v>
      </c>
      <c r="C103" s="13">
        <v>93</v>
      </c>
      <c r="D103">
        <v>2</v>
      </c>
      <c r="E103">
        <v>1</v>
      </c>
      <c r="F103">
        <v>1</v>
      </c>
      <c r="G103">
        <v>69</v>
      </c>
      <c r="H103" s="13">
        <v>158</v>
      </c>
      <c r="I103">
        <f t="shared" si="17"/>
        <v>373</v>
      </c>
      <c r="J103">
        <f t="shared" si="16"/>
        <v>284</v>
      </c>
      <c r="K103">
        <f t="shared" si="18"/>
        <v>0</v>
      </c>
      <c r="L103">
        <f t="shared" si="19"/>
        <v>158</v>
      </c>
      <c r="M103" s="13" t="str">
        <f t="shared" ref="M103:M166" si="21">IF(B104&lt;&gt;B103,J103-I76,"")</f>
        <v/>
      </c>
      <c r="AW103" s="12" t="e">
        <f t="shared" si="20"/>
        <v>#N/A</v>
      </c>
      <c r="AX103" t="e">
        <f t="shared" si="20"/>
        <v>#N/A</v>
      </c>
      <c r="AY103" t="e">
        <f t="shared" si="20"/>
        <v>#N/A</v>
      </c>
      <c r="AZ103">
        <f t="shared" si="20"/>
        <v>284</v>
      </c>
      <c r="BA103" t="e">
        <f t="shared" si="20"/>
        <v>#N/A</v>
      </c>
      <c r="BB103" t="e">
        <f t="shared" si="20"/>
        <v>#N/A</v>
      </c>
      <c r="BC103" s="13" t="e">
        <f t="shared" si="20"/>
        <v>#N/A</v>
      </c>
    </row>
    <row r="104" spans="2:55" x14ac:dyDescent="0.45">
      <c r="B104" s="11">
        <v>4</v>
      </c>
      <c r="C104" s="13">
        <v>94</v>
      </c>
      <c r="D104">
        <v>3</v>
      </c>
      <c r="E104">
        <v>1</v>
      </c>
      <c r="F104">
        <v>1</v>
      </c>
      <c r="G104">
        <v>205</v>
      </c>
      <c r="H104" s="13">
        <v>163</v>
      </c>
      <c r="I104">
        <f t="shared" si="17"/>
        <v>284</v>
      </c>
      <c r="J104">
        <f t="shared" si="16"/>
        <v>326</v>
      </c>
      <c r="K104">
        <f t="shared" si="18"/>
        <v>0</v>
      </c>
      <c r="L104">
        <f t="shared" si="19"/>
        <v>163</v>
      </c>
      <c r="M104" s="13" t="str">
        <f t="shared" si="21"/>
        <v/>
      </c>
      <c r="AW104" s="12" t="e">
        <f t="shared" si="20"/>
        <v>#N/A</v>
      </c>
      <c r="AX104" t="e">
        <f t="shared" si="20"/>
        <v>#N/A</v>
      </c>
      <c r="AY104" t="e">
        <f t="shared" si="20"/>
        <v>#N/A</v>
      </c>
      <c r="AZ104">
        <f t="shared" si="20"/>
        <v>326</v>
      </c>
      <c r="BA104" t="e">
        <f t="shared" si="20"/>
        <v>#N/A</v>
      </c>
      <c r="BB104" t="e">
        <f t="shared" si="20"/>
        <v>#N/A</v>
      </c>
      <c r="BC104" s="13" t="e">
        <f t="shared" si="20"/>
        <v>#N/A</v>
      </c>
    </row>
    <row r="105" spans="2:55" x14ac:dyDescent="0.45">
      <c r="B105" s="11">
        <v>4</v>
      </c>
      <c r="C105" s="13">
        <v>95</v>
      </c>
      <c r="D105">
        <v>4</v>
      </c>
      <c r="E105">
        <v>1</v>
      </c>
      <c r="F105">
        <v>1</v>
      </c>
      <c r="G105">
        <v>152</v>
      </c>
      <c r="H105" s="13">
        <v>164</v>
      </c>
      <c r="I105">
        <f t="shared" si="17"/>
        <v>326</v>
      </c>
      <c r="J105">
        <f t="shared" si="16"/>
        <v>314</v>
      </c>
      <c r="K105">
        <f t="shared" si="18"/>
        <v>0</v>
      </c>
      <c r="L105">
        <f t="shared" si="19"/>
        <v>164</v>
      </c>
      <c r="M105" s="13" t="str">
        <f t="shared" si="21"/>
        <v/>
      </c>
      <c r="AW105" s="12" t="e">
        <f t="shared" si="20"/>
        <v>#N/A</v>
      </c>
      <c r="AX105" t="e">
        <f t="shared" si="20"/>
        <v>#N/A</v>
      </c>
      <c r="AY105" t="e">
        <f t="shared" si="20"/>
        <v>#N/A</v>
      </c>
      <c r="AZ105">
        <f t="shared" si="20"/>
        <v>314</v>
      </c>
      <c r="BA105" t="e">
        <f t="shared" si="20"/>
        <v>#N/A</v>
      </c>
      <c r="BB105" t="e">
        <f t="shared" si="20"/>
        <v>#N/A</v>
      </c>
      <c r="BC105" s="13" t="e">
        <f t="shared" si="20"/>
        <v>#N/A</v>
      </c>
    </row>
    <row r="106" spans="2:55" x14ac:dyDescent="0.45">
      <c r="B106" s="11">
        <v>4</v>
      </c>
      <c r="C106" s="13">
        <v>96</v>
      </c>
      <c r="D106">
        <v>5</v>
      </c>
      <c r="E106">
        <v>1</v>
      </c>
      <c r="F106">
        <v>1</v>
      </c>
      <c r="G106">
        <v>145</v>
      </c>
      <c r="H106" s="13">
        <v>144</v>
      </c>
      <c r="I106">
        <f t="shared" si="17"/>
        <v>314</v>
      </c>
      <c r="J106">
        <f t="shared" si="16"/>
        <v>315</v>
      </c>
      <c r="K106">
        <f t="shared" si="18"/>
        <v>0</v>
      </c>
      <c r="L106">
        <f t="shared" si="19"/>
        <v>144</v>
      </c>
      <c r="M106" s="13" t="str">
        <f t="shared" si="21"/>
        <v/>
      </c>
      <c r="AW106" s="12" t="e">
        <f t="shared" si="20"/>
        <v>#N/A</v>
      </c>
      <c r="AX106" t="e">
        <f t="shared" si="20"/>
        <v>#N/A</v>
      </c>
      <c r="AY106" t="e">
        <f t="shared" si="20"/>
        <v>#N/A</v>
      </c>
      <c r="AZ106">
        <f t="shared" si="20"/>
        <v>315</v>
      </c>
      <c r="BA106" t="e">
        <f t="shared" si="20"/>
        <v>#N/A</v>
      </c>
      <c r="BB106" t="e">
        <f t="shared" si="20"/>
        <v>#N/A</v>
      </c>
      <c r="BC106" s="13" t="e">
        <f t="shared" si="20"/>
        <v>#N/A</v>
      </c>
    </row>
    <row r="107" spans="2:55" x14ac:dyDescent="0.45">
      <c r="B107" s="11">
        <v>4</v>
      </c>
      <c r="C107" s="13">
        <v>97</v>
      </c>
      <c r="D107">
        <v>6</v>
      </c>
      <c r="E107">
        <v>0</v>
      </c>
      <c r="F107">
        <v>0</v>
      </c>
      <c r="G107">
        <v>0</v>
      </c>
      <c r="H107" s="13">
        <v>0</v>
      </c>
      <c r="I107">
        <f t="shared" si="17"/>
        <v>315</v>
      </c>
      <c r="J107">
        <f t="shared" si="16"/>
        <v>315</v>
      </c>
      <c r="K107">
        <f t="shared" si="18"/>
        <v>0</v>
      </c>
      <c r="L107" t="str">
        <f t="shared" si="19"/>
        <v/>
      </c>
      <c r="M107" s="13" t="str">
        <f t="shared" si="21"/>
        <v/>
      </c>
      <c r="AW107" s="12" t="e">
        <f t="shared" ref="AW107:BC122" si="22">IF($B107=AW$10,$J107,NA())</f>
        <v>#N/A</v>
      </c>
      <c r="AX107" t="e">
        <f t="shared" si="22"/>
        <v>#N/A</v>
      </c>
      <c r="AY107" t="e">
        <f t="shared" si="22"/>
        <v>#N/A</v>
      </c>
      <c r="AZ107">
        <f t="shared" si="22"/>
        <v>315</v>
      </c>
      <c r="BA107" t="e">
        <f t="shared" si="22"/>
        <v>#N/A</v>
      </c>
      <c r="BB107" t="e">
        <f t="shared" si="22"/>
        <v>#N/A</v>
      </c>
      <c r="BC107" s="13" t="e">
        <f t="shared" si="22"/>
        <v>#N/A</v>
      </c>
    </row>
    <row r="108" spans="2:55" x14ac:dyDescent="0.45">
      <c r="B108" s="11">
        <v>4</v>
      </c>
      <c r="C108" s="13">
        <v>98</v>
      </c>
      <c r="D108" s="15">
        <v>7</v>
      </c>
      <c r="E108" s="15">
        <v>0</v>
      </c>
      <c r="F108" s="15">
        <v>0</v>
      </c>
      <c r="G108" s="15">
        <v>0</v>
      </c>
      <c r="H108" s="16">
        <v>0</v>
      </c>
      <c r="I108">
        <f t="shared" si="17"/>
        <v>315</v>
      </c>
      <c r="J108">
        <f t="shared" si="16"/>
        <v>315</v>
      </c>
      <c r="K108">
        <f t="shared" si="18"/>
        <v>0</v>
      </c>
      <c r="L108" t="str">
        <f t="shared" si="19"/>
        <v/>
      </c>
      <c r="M108" s="13" t="str">
        <f t="shared" si="21"/>
        <v/>
      </c>
      <c r="AW108" s="12" t="e">
        <f t="shared" si="22"/>
        <v>#N/A</v>
      </c>
      <c r="AX108" t="e">
        <f t="shared" si="22"/>
        <v>#N/A</v>
      </c>
      <c r="AY108" t="e">
        <f t="shared" si="22"/>
        <v>#N/A</v>
      </c>
      <c r="AZ108">
        <f t="shared" si="22"/>
        <v>315</v>
      </c>
      <c r="BA108" t="e">
        <f t="shared" si="22"/>
        <v>#N/A</v>
      </c>
      <c r="BB108" t="e">
        <f t="shared" si="22"/>
        <v>#N/A</v>
      </c>
      <c r="BC108" s="13" t="e">
        <f t="shared" si="22"/>
        <v>#N/A</v>
      </c>
    </row>
    <row r="109" spans="2:55" x14ac:dyDescent="0.45">
      <c r="B109" s="11">
        <v>4</v>
      </c>
      <c r="C109" s="13">
        <v>99</v>
      </c>
      <c r="D109" s="8">
        <v>1</v>
      </c>
      <c r="E109" s="8">
        <v>1</v>
      </c>
      <c r="F109" s="8">
        <v>1</v>
      </c>
      <c r="G109" s="8">
        <v>171</v>
      </c>
      <c r="H109" s="10">
        <v>163</v>
      </c>
      <c r="I109">
        <f t="shared" si="17"/>
        <v>315</v>
      </c>
      <c r="J109">
        <f t="shared" si="16"/>
        <v>323</v>
      </c>
      <c r="K109">
        <f t="shared" si="18"/>
        <v>0</v>
      </c>
      <c r="L109">
        <f t="shared" si="19"/>
        <v>163</v>
      </c>
      <c r="M109" s="13" t="str">
        <f t="shared" si="21"/>
        <v/>
      </c>
      <c r="AW109" s="12" t="e">
        <f t="shared" si="22"/>
        <v>#N/A</v>
      </c>
      <c r="AX109" t="e">
        <f t="shared" si="22"/>
        <v>#N/A</v>
      </c>
      <c r="AY109" t="e">
        <f t="shared" si="22"/>
        <v>#N/A</v>
      </c>
      <c r="AZ109">
        <f t="shared" si="22"/>
        <v>323</v>
      </c>
      <c r="BA109" t="e">
        <f t="shared" si="22"/>
        <v>#N/A</v>
      </c>
      <c r="BB109" t="e">
        <f t="shared" si="22"/>
        <v>#N/A</v>
      </c>
      <c r="BC109" s="13" t="e">
        <f t="shared" si="22"/>
        <v>#N/A</v>
      </c>
    </row>
    <row r="110" spans="2:55" x14ac:dyDescent="0.45">
      <c r="B110" s="11">
        <v>4</v>
      </c>
      <c r="C110" s="13">
        <v>100</v>
      </c>
      <c r="D110">
        <v>2</v>
      </c>
      <c r="E110">
        <v>1</v>
      </c>
      <c r="F110">
        <v>1</v>
      </c>
      <c r="G110">
        <v>169</v>
      </c>
      <c r="H110" s="13">
        <v>160</v>
      </c>
      <c r="I110">
        <f t="shared" si="17"/>
        <v>323</v>
      </c>
      <c r="J110">
        <f t="shared" si="16"/>
        <v>332</v>
      </c>
      <c r="K110">
        <f t="shared" si="18"/>
        <v>0</v>
      </c>
      <c r="L110">
        <f t="shared" si="19"/>
        <v>160</v>
      </c>
      <c r="M110" s="13" t="str">
        <f t="shared" si="21"/>
        <v/>
      </c>
      <c r="AW110" s="12" t="e">
        <f t="shared" si="22"/>
        <v>#N/A</v>
      </c>
      <c r="AX110" t="e">
        <f t="shared" si="22"/>
        <v>#N/A</v>
      </c>
      <c r="AY110" t="e">
        <f t="shared" si="22"/>
        <v>#N/A</v>
      </c>
      <c r="AZ110">
        <f t="shared" si="22"/>
        <v>332</v>
      </c>
      <c r="BA110" t="e">
        <f t="shared" si="22"/>
        <v>#N/A</v>
      </c>
      <c r="BB110" t="e">
        <f t="shared" si="22"/>
        <v>#N/A</v>
      </c>
      <c r="BC110" s="13" t="e">
        <f t="shared" si="22"/>
        <v>#N/A</v>
      </c>
    </row>
    <row r="111" spans="2:55" x14ac:dyDescent="0.45">
      <c r="B111" s="11">
        <v>4</v>
      </c>
      <c r="C111" s="13">
        <v>101</v>
      </c>
      <c r="D111">
        <v>3</v>
      </c>
      <c r="E111">
        <v>1</v>
      </c>
      <c r="F111">
        <v>1</v>
      </c>
      <c r="G111">
        <v>170</v>
      </c>
      <c r="H111" s="13">
        <v>141</v>
      </c>
      <c r="I111">
        <f t="shared" si="17"/>
        <v>332</v>
      </c>
      <c r="J111">
        <f t="shared" si="16"/>
        <v>361</v>
      </c>
      <c r="K111">
        <f t="shared" si="18"/>
        <v>0</v>
      </c>
      <c r="L111">
        <f t="shared" si="19"/>
        <v>141</v>
      </c>
      <c r="M111" s="13" t="str">
        <f t="shared" si="21"/>
        <v/>
      </c>
      <c r="AW111" s="12" t="e">
        <f t="shared" si="22"/>
        <v>#N/A</v>
      </c>
      <c r="AX111" t="e">
        <f t="shared" si="22"/>
        <v>#N/A</v>
      </c>
      <c r="AY111" t="e">
        <f t="shared" si="22"/>
        <v>#N/A</v>
      </c>
      <c r="AZ111">
        <f t="shared" si="22"/>
        <v>361</v>
      </c>
      <c r="BA111" t="e">
        <f t="shared" si="22"/>
        <v>#N/A</v>
      </c>
      <c r="BB111" t="e">
        <f t="shared" si="22"/>
        <v>#N/A</v>
      </c>
      <c r="BC111" s="13" t="e">
        <f t="shared" si="22"/>
        <v>#N/A</v>
      </c>
    </row>
    <row r="112" spans="2:55" x14ac:dyDescent="0.45">
      <c r="B112" s="11">
        <v>4</v>
      </c>
      <c r="C112" s="13">
        <v>102</v>
      </c>
      <c r="D112">
        <v>4</v>
      </c>
      <c r="E112">
        <v>1</v>
      </c>
      <c r="F112">
        <v>1</v>
      </c>
      <c r="G112">
        <v>183</v>
      </c>
      <c r="H112" s="13">
        <v>144</v>
      </c>
      <c r="I112">
        <f t="shared" si="17"/>
        <v>361</v>
      </c>
      <c r="J112">
        <f t="shared" si="16"/>
        <v>400</v>
      </c>
      <c r="K112">
        <f t="shared" si="18"/>
        <v>0</v>
      </c>
      <c r="L112">
        <f t="shared" si="19"/>
        <v>144</v>
      </c>
      <c r="M112" s="13" t="str">
        <f t="shared" si="21"/>
        <v/>
      </c>
      <c r="AW112" s="12" t="e">
        <f t="shared" si="22"/>
        <v>#N/A</v>
      </c>
      <c r="AX112" t="e">
        <f t="shared" si="22"/>
        <v>#N/A</v>
      </c>
      <c r="AY112" t="e">
        <f t="shared" si="22"/>
        <v>#N/A</v>
      </c>
      <c r="AZ112">
        <f t="shared" si="22"/>
        <v>400</v>
      </c>
      <c r="BA112" t="e">
        <f t="shared" si="22"/>
        <v>#N/A</v>
      </c>
      <c r="BB112" t="e">
        <f t="shared" si="22"/>
        <v>#N/A</v>
      </c>
      <c r="BC112" s="13" t="e">
        <f t="shared" si="22"/>
        <v>#N/A</v>
      </c>
    </row>
    <row r="113" spans="2:55" x14ac:dyDescent="0.45">
      <c r="B113" s="11">
        <v>4</v>
      </c>
      <c r="C113" s="13">
        <v>103</v>
      </c>
      <c r="D113">
        <v>5</v>
      </c>
      <c r="E113">
        <v>1</v>
      </c>
      <c r="F113">
        <v>1</v>
      </c>
      <c r="G113">
        <v>180</v>
      </c>
      <c r="H113" s="13">
        <v>156</v>
      </c>
      <c r="I113">
        <f t="shared" si="17"/>
        <v>400</v>
      </c>
      <c r="J113">
        <f t="shared" si="16"/>
        <v>424</v>
      </c>
      <c r="K113">
        <f t="shared" si="18"/>
        <v>0</v>
      </c>
      <c r="L113">
        <f t="shared" si="19"/>
        <v>156</v>
      </c>
      <c r="M113" s="13" t="str">
        <f t="shared" si="21"/>
        <v/>
      </c>
      <c r="AW113" s="12" t="e">
        <f t="shared" si="22"/>
        <v>#N/A</v>
      </c>
      <c r="AX113" t="e">
        <f t="shared" si="22"/>
        <v>#N/A</v>
      </c>
      <c r="AY113" t="e">
        <f t="shared" si="22"/>
        <v>#N/A</v>
      </c>
      <c r="AZ113">
        <f t="shared" si="22"/>
        <v>424</v>
      </c>
      <c r="BA113" t="e">
        <f t="shared" si="22"/>
        <v>#N/A</v>
      </c>
      <c r="BB113" t="e">
        <f t="shared" si="22"/>
        <v>#N/A</v>
      </c>
      <c r="BC113" s="13" t="e">
        <f t="shared" si="22"/>
        <v>#N/A</v>
      </c>
    </row>
    <row r="114" spans="2:55" x14ac:dyDescent="0.45">
      <c r="B114" s="11">
        <v>4</v>
      </c>
      <c r="C114" s="13">
        <v>104</v>
      </c>
      <c r="D114">
        <v>6</v>
      </c>
      <c r="E114">
        <v>0</v>
      </c>
      <c r="F114">
        <v>0</v>
      </c>
      <c r="G114">
        <v>0</v>
      </c>
      <c r="H114" s="13">
        <v>0</v>
      </c>
      <c r="I114">
        <f t="shared" si="17"/>
        <v>424</v>
      </c>
      <c r="J114">
        <f t="shared" si="16"/>
        <v>424</v>
      </c>
      <c r="K114">
        <f t="shared" si="18"/>
        <v>0</v>
      </c>
      <c r="L114" t="str">
        <f t="shared" si="19"/>
        <v/>
      </c>
      <c r="M114" s="13" t="str">
        <f t="shared" si="21"/>
        <v/>
      </c>
      <c r="AW114" s="12" t="e">
        <f t="shared" si="22"/>
        <v>#N/A</v>
      </c>
      <c r="AX114" t="e">
        <f t="shared" si="22"/>
        <v>#N/A</v>
      </c>
      <c r="AY114" t="e">
        <f t="shared" si="22"/>
        <v>#N/A</v>
      </c>
      <c r="AZ114">
        <f t="shared" si="22"/>
        <v>424</v>
      </c>
      <c r="BA114" t="e">
        <f t="shared" si="22"/>
        <v>#N/A</v>
      </c>
      <c r="BB114" t="e">
        <f t="shared" si="22"/>
        <v>#N/A</v>
      </c>
      <c r="BC114" s="13" t="e">
        <f t="shared" si="22"/>
        <v>#N/A</v>
      </c>
    </row>
    <row r="115" spans="2:55" x14ac:dyDescent="0.45">
      <c r="B115" s="11">
        <v>4</v>
      </c>
      <c r="C115" s="13">
        <v>105</v>
      </c>
      <c r="D115" s="15">
        <v>7</v>
      </c>
      <c r="E115" s="15">
        <v>0</v>
      </c>
      <c r="F115" s="15">
        <v>0</v>
      </c>
      <c r="G115" s="15">
        <v>0</v>
      </c>
      <c r="H115" s="16">
        <v>0</v>
      </c>
      <c r="I115">
        <f t="shared" si="17"/>
        <v>424</v>
      </c>
      <c r="J115">
        <f t="shared" si="16"/>
        <v>424</v>
      </c>
      <c r="K115">
        <f t="shared" si="18"/>
        <v>0</v>
      </c>
      <c r="L115" t="str">
        <f t="shared" si="19"/>
        <v/>
      </c>
      <c r="M115" s="13" t="str">
        <f t="shared" si="21"/>
        <v/>
      </c>
      <c r="AW115" s="12" t="e">
        <f t="shared" si="22"/>
        <v>#N/A</v>
      </c>
      <c r="AX115" t="e">
        <f t="shared" si="22"/>
        <v>#N/A</v>
      </c>
      <c r="AY115" t="e">
        <f t="shared" si="22"/>
        <v>#N/A</v>
      </c>
      <c r="AZ115">
        <f t="shared" si="22"/>
        <v>424</v>
      </c>
      <c r="BA115" t="e">
        <f t="shared" si="22"/>
        <v>#N/A</v>
      </c>
      <c r="BB115" t="e">
        <f t="shared" si="22"/>
        <v>#N/A</v>
      </c>
      <c r="BC115" s="13" t="e">
        <f t="shared" si="22"/>
        <v>#N/A</v>
      </c>
    </row>
    <row r="116" spans="2:55" x14ac:dyDescent="0.45">
      <c r="B116" s="11">
        <v>4</v>
      </c>
      <c r="C116" s="13">
        <v>106</v>
      </c>
      <c r="D116" s="8">
        <v>1</v>
      </c>
      <c r="E116" s="8">
        <v>1</v>
      </c>
      <c r="F116" s="8">
        <v>1</v>
      </c>
      <c r="G116" s="8">
        <v>156</v>
      </c>
      <c r="H116" s="10">
        <v>142</v>
      </c>
      <c r="I116">
        <f t="shared" si="17"/>
        <v>424</v>
      </c>
      <c r="J116">
        <f t="shared" si="16"/>
        <v>438</v>
      </c>
      <c r="K116">
        <f t="shared" si="18"/>
        <v>0</v>
      </c>
      <c r="L116">
        <f t="shared" si="19"/>
        <v>142</v>
      </c>
      <c r="M116" s="13" t="str">
        <f t="shared" si="21"/>
        <v/>
      </c>
      <c r="AW116" s="12" t="e">
        <f t="shared" si="22"/>
        <v>#N/A</v>
      </c>
      <c r="AX116" t="e">
        <f t="shared" si="22"/>
        <v>#N/A</v>
      </c>
      <c r="AY116" t="e">
        <f t="shared" si="22"/>
        <v>#N/A</v>
      </c>
      <c r="AZ116">
        <f t="shared" si="22"/>
        <v>438</v>
      </c>
      <c r="BA116" t="e">
        <f t="shared" si="22"/>
        <v>#N/A</v>
      </c>
      <c r="BB116" t="e">
        <f t="shared" si="22"/>
        <v>#N/A</v>
      </c>
      <c r="BC116" s="13" t="e">
        <f t="shared" si="22"/>
        <v>#N/A</v>
      </c>
    </row>
    <row r="117" spans="2:55" x14ac:dyDescent="0.45">
      <c r="B117" s="11">
        <v>4</v>
      </c>
      <c r="C117" s="13">
        <v>107</v>
      </c>
      <c r="D117">
        <v>2</v>
      </c>
      <c r="E117">
        <v>1</v>
      </c>
      <c r="F117">
        <v>1</v>
      </c>
      <c r="G117">
        <v>168</v>
      </c>
      <c r="H117" s="13">
        <v>153</v>
      </c>
      <c r="I117">
        <f t="shared" si="17"/>
        <v>438</v>
      </c>
      <c r="J117">
        <f t="shared" si="16"/>
        <v>453</v>
      </c>
      <c r="K117">
        <f t="shared" si="18"/>
        <v>0</v>
      </c>
      <c r="L117">
        <f t="shared" si="19"/>
        <v>153</v>
      </c>
      <c r="M117" s="13" t="str">
        <f t="shared" si="21"/>
        <v/>
      </c>
      <c r="AW117" s="12" t="e">
        <f t="shared" si="22"/>
        <v>#N/A</v>
      </c>
      <c r="AX117" t="e">
        <f t="shared" si="22"/>
        <v>#N/A</v>
      </c>
      <c r="AY117" t="e">
        <f t="shared" si="22"/>
        <v>#N/A</v>
      </c>
      <c r="AZ117">
        <f t="shared" si="22"/>
        <v>453</v>
      </c>
      <c r="BA117" t="e">
        <f t="shared" si="22"/>
        <v>#N/A</v>
      </c>
      <c r="BB117" t="e">
        <f t="shared" si="22"/>
        <v>#N/A</v>
      </c>
      <c r="BC117" s="13" t="e">
        <f t="shared" si="22"/>
        <v>#N/A</v>
      </c>
    </row>
    <row r="118" spans="2:55" x14ac:dyDescent="0.45">
      <c r="B118" s="11">
        <v>4</v>
      </c>
      <c r="C118" s="13">
        <v>108</v>
      </c>
      <c r="D118">
        <v>3</v>
      </c>
      <c r="E118">
        <v>1</v>
      </c>
      <c r="F118">
        <v>1</v>
      </c>
      <c r="G118">
        <v>156</v>
      </c>
      <c r="H118" s="13">
        <v>161</v>
      </c>
      <c r="I118">
        <f t="shared" si="17"/>
        <v>453</v>
      </c>
      <c r="J118">
        <f t="shared" si="16"/>
        <v>448</v>
      </c>
      <c r="K118">
        <f t="shared" si="18"/>
        <v>0</v>
      </c>
      <c r="L118">
        <f t="shared" si="19"/>
        <v>161</v>
      </c>
      <c r="M118" s="13" t="str">
        <f t="shared" si="21"/>
        <v/>
      </c>
      <c r="AW118" s="12" t="e">
        <f t="shared" si="22"/>
        <v>#N/A</v>
      </c>
      <c r="AX118" t="e">
        <f t="shared" si="22"/>
        <v>#N/A</v>
      </c>
      <c r="AY118" t="e">
        <f t="shared" si="22"/>
        <v>#N/A</v>
      </c>
      <c r="AZ118">
        <f t="shared" si="22"/>
        <v>448</v>
      </c>
      <c r="BA118" t="e">
        <f t="shared" si="22"/>
        <v>#N/A</v>
      </c>
      <c r="BB118" t="e">
        <f t="shared" si="22"/>
        <v>#N/A</v>
      </c>
      <c r="BC118" s="13" t="e">
        <f t="shared" si="22"/>
        <v>#N/A</v>
      </c>
    </row>
    <row r="119" spans="2:55" x14ac:dyDescent="0.45">
      <c r="B119" s="11">
        <v>4</v>
      </c>
      <c r="C119" s="13">
        <v>109</v>
      </c>
      <c r="D119">
        <v>4</v>
      </c>
      <c r="E119">
        <v>1</v>
      </c>
      <c r="F119">
        <v>1</v>
      </c>
      <c r="G119">
        <v>189</v>
      </c>
      <c r="H119" s="13">
        <v>153</v>
      </c>
      <c r="I119">
        <f t="shared" si="17"/>
        <v>448</v>
      </c>
      <c r="J119">
        <f t="shared" si="16"/>
        <v>484</v>
      </c>
      <c r="K119">
        <f t="shared" si="18"/>
        <v>0</v>
      </c>
      <c r="L119">
        <f t="shared" si="19"/>
        <v>153</v>
      </c>
      <c r="M119" s="13" t="str">
        <f t="shared" si="21"/>
        <v/>
      </c>
      <c r="AW119" s="12" t="e">
        <f t="shared" si="22"/>
        <v>#N/A</v>
      </c>
      <c r="AX119" t="e">
        <f t="shared" si="22"/>
        <v>#N/A</v>
      </c>
      <c r="AY119" t="e">
        <f t="shared" si="22"/>
        <v>#N/A</v>
      </c>
      <c r="AZ119">
        <f t="shared" si="22"/>
        <v>484</v>
      </c>
      <c r="BA119" t="e">
        <f t="shared" si="22"/>
        <v>#N/A</v>
      </c>
      <c r="BB119" t="e">
        <f t="shared" si="22"/>
        <v>#N/A</v>
      </c>
      <c r="BC119" s="13" t="e">
        <f t="shared" si="22"/>
        <v>#N/A</v>
      </c>
    </row>
    <row r="120" spans="2:55" x14ac:dyDescent="0.45">
      <c r="B120" s="11">
        <v>4</v>
      </c>
      <c r="C120" s="13">
        <v>110</v>
      </c>
      <c r="D120">
        <v>5</v>
      </c>
      <c r="E120">
        <v>1</v>
      </c>
      <c r="F120">
        <v>1</v>
      </c>
      <c r="G120">
        <v>161</v>
      </c>
      <c r="H120" s="13">
        <v>150</v>
      </c>
      <c r="I120">
        <f t="shared" si="17"/>
        <v>484</v>
      </c>
      <c r="J120">
        <f t="shared" si="16"/>
        <v>495</v>
      </c>
      <c r="K120">
        <f t="shared" si="18"/>
        <v>0</v>
      </c>
      <c r="L120">
        <f t="shared" si="19"/>
        <v>150</v>
      </c>
      <c r="M120" s="13" t="str">
        <f t="shared" si="21"/>
        <v/>
      </c>
      <c r="AW120" s="12" t="e">
        <f t="shared" si="22"/>
        <v>#N/A</v>
      </c>
      <c r="AX120" t="e">
        <f t="shared" si="22"/>
        <v>#N/A</v>
      </c>
      <c r="AY120" t="e">
        <f t="shared" si="22"/>
        <v>#N/A</v>
      </c>
      <c r="AZ120">
        <f t="shared" si="22"/>
        <v>495</v>
      </c>
      <c r="BA120" t="e">
        <f t="shared" si="22"/>
        <v>#N/A</v>
      </c>
      <c r="BB120" t="e">
        <f t="shared" si="22"/>
        <v>#N/A</v>
      </c>
      <c r="BC120" s="13" t="e">
        <f t="shared" si="22"/>
        <v>#N/A</v>
      </c>
    </row>
    <row r="121" spans="2:55" x14ac:dyDescent="0.45">
      <c r="B121" s="11">
        <v>4</v>
      </c>
      <c r="C121" s="13">
        <v>111</v>
      </c>
      <c r="D121">
        <v>6</v>
      </c>
      <c r="E121">
        <v>0</v>
      </c>
      <c r="F121">
        <v>0</v>
      </c>
      <c r="G121">
        <v>0</v>
      </c>
      <c r="H121" s="13">
        <v>0</v>
      </c>
      <c r="I121">
        <f t="shared" si="17"/>
        <v>495</v>
      </c>
      <c r="J121">
        <f t="shared" si="16"/>
        <v>495</v>
      </c>
      <c r="K121">
        <f t="shared" si="18"/>
        <v>0</v>
      </c>
      <c r="L121" t="str">
        <f t="shared" si="19"/>
        <v/>
      </c>
      <c r="M121" s="13" t="str">
        <f t="shared" si="21"/>
        <v/>
      </c>
      <c r="AW121" s="12" t="e">
        <f t="shared" si="22"/>
        <v>#N/A</v>
      </c>
      <c r="AX121" t="e">
        <f t="shared" si="22"/>
        <v>#N/A</v>
      </c>
      <c r="AY121" t="e">
        <f t="shared" si="22"/>
        <v>#N/A</v>
      </c>
      <c r="AZ121">
        <f t="shared" si="22"/>
        <v>495</v>
      </c>
      <c r="BA121" t="e">
        <f t="shared" si="22"/>
        <v>#N/A</v>
      </c>
      <c r="BB121" t="e">
        <f t="shared" si="22"/>
        <v>#N/A</v>
      </c>
      <c r="BC121" s="13" t="e">
        <f t="shared" si="22"/>
        <v>#N/A</v>
      </c>
    </row>
    <row r="122" spans="2:55" x14ac:dyDescent="0.45">
      <c r="B122" s="17">
        <v>4</v>
      </c>
      <c r="C122" s="13">
        <v>112</v>
      </c>
      <c r="D122" s="15">
        <v>7</v>
      </c>
      <c r="E122" s="15">
        <v>0</v>
      </c>
      <c r="F122" s="15">
        <v>0</v>
      </c>
      <c r="G122" s="15">
        <v>0</v>
      </c>
      <c r="H122" s="16">
        <v>0</v>
      </c>
      <c r="I122">
        <f t="shared" si="17"/>
        <v>495</v>
      </c>
      <c r="J122">
        <f t="shared" si="16"/>
        <v>495</v>
      </c>
      <c r="K122">
        <f t="shared" si="18"/>
        <v>0</v>
      </c>
      <c r="L122" t="str">
        <f t="shared" si="19"/>
        <v/>
      </c>
      <c r="M122" s="13">
        <f t="shared" si="21"/>
        <v>258</v>
      </c>
      <c r="AW122" s="12" t="e">
        <f t="shared" si="22"/>
        <v>#N/A</v>
      </c>
      <c r="AX122" t="e">
        <f t="shared" si="22"/>
        <v>#N/A</v>
      </c>
      <c r="AY122" t="e">
        <f t="shared" si="22"/>
        <v>#N/A</v>
      </c>
      <c r="AZ122">
        <f t="shared" si="22"/>
        <v>495</v>
      </c>
      <c r="BA122" t="e">
        <f t="shared" si="22"/>
        <v>#N/A</v>
      </c>
      <c r="BB122" t="e">
        <f t="shared" si="22"/>
        <v>#N/A</v>
      </c>
      <c r="BC122" s="13" t="e">
        <f t="shared" si="22"/>
        <v>#N/A</v>
      </c>
    </row>
    <row r="123" spans="2:55" x14ac:dyDescent="0.45">
      <c r="B123" s="7">
        <v>5</v>
      </c>
      <c r="C123" s="13">
        <v>113</v>
      </c>
      <c r="D123" s="8">
        <v>1</v>
      </c>
      <c r="E123" s="8">
        <v>1</v>
      </c>
      <c r="F123" s="8">
        <v>1</v>
      </c>
      <c r="G123" s="8">
        <v>179</v>
      </c>
      <c r="H123" s="10">
        <v>154</v>
      </c>
      <c r="I123">
        <f t="shared" si="17"/>
        <v>495</v>
      </c>
      <c r="J123">
        <f t="shared" si="16"/>
        <v>520</v>
      </c>
      <c r="K123">
        <f t="shared" si="18"/>
        <v>0</v>
      </c>
      <c r="L123">
        <f t="shared" si="19"/>
        <v>154</v>
      </c>
      <c r="M123" s="13" t="str">
        <f t="shared" si="21"/>
        <v/>
      </c>
      <c r="AW123" s="12" t="e">
        <f t="shared" ref="AW123:BC138" si="23">IF($B123=AW$10,$J123,NA())</f>
        <v>#N/A</v>
      </c>
      <c r="AX123" t="e">
        <f t="shared" si="23"/>
        <v>#N/A</v>
      </c>
      <c r="AY123" t="e">
        <f t="shared" si="23"/>
        <v>#N/A</v>
      </c>
      <c r="AZ123" t="e">
        <f t="shared" si="23"/>
        <v>#N/A</v>
      </c>
      <c r="BA123">
        <f t="shared" si="23"/>
        <v>520</v>
      </c>
      <c r="BB123" t="e">
        <f t="shared" si="23"/>
        <v>#N/A</v>
      </c>
      <c r="BC123" s="13" t="e">
        <f t="shared" si="23"/>
        <v>#N/A</v>
      </c>
    </row>
    <row r="124" spans="2:55" x14ac:dyDescent="0.45">
      <c r="B124" s="11">
        <v>5</v>
      </c>
      <c r="C124" s="13">
        <v>114</v>
      </c>
      <c r="D124">
        <v>2</v>
      </c>
      <c r="E124">
        <v>1</v>
      </c>
      <c r="F124">
        <v>1</v>
      </c>
      <c r="G124">
        <v>165</v>
      </c>
      <c r="H124" s="13">
        <v>142</v>
      </c>
      <c r="I124">
        <f t="shared" si="17"/>
        <v>520</v>
      </c>
      <c r="J124">
        <f t="shared" si="16"/>
        <v>543</v>
      </c>
      <c r="K124">
        <f t="shared" si="18"/>
        <v>0</v>
      </c>
      <c r="L124">
        <f t="shared" si="19"/>
        <v>142</v>
      </c>
      <c r="M124" s="13" t="str">
        <f t="shared" si="21"/>
        <v/>
      </c>
      <c r="AW124" s="12" t="e">
        <f t="shared" si="23"/>
        <v>#N/A</v>
      </c>
      <c r="AX124" t="e">
        <f t="shared" si="23"/>
        <v>#N/A</v>
      </c>
      <c r="AY124" t="e">
        <f t="shared" si="23"/>
        <v>#N/A</v>
      </c>
      <c r="AZ124" t="e">
        <f t="shared" si="23"/>
        <v>#N/A</v>
      </c>
      <c r="BA124">
        <f t="shared" si="23"/>
        <v>543</v>
      </c>
      <c r="BB124" t="e">
        <f t="shared" si="23"/>
        <v>#N/A</v>
      </c>
      <c r="BC124" s="13" t="e">
        <f t="shared" si="23"/>
        <v>#N/A</v>
      </c>
    </row>
    <row r="125" spans="2:55" x14ac:dyDescent="0.45">
      <c r="B125" s="11">
        <v>5</v>
      </c>
      <c r="C125" s="13">
        <v>115</v>
      </c>
      <c r="D125">
        <v>3</v>
      </c>
      <c r="E125">
        <v>1</v>
      </c>
      <c r="F125">
        <v>1</v>
      </c>
      <c r="G125">
        <v>171</v>
      </c>
      <c r="H125" s="13">
        <v>152</v>
      </c>
      <c r="I125">
        <f t="shared" si="17"/>
        <v>543</v>
      </c>
      <c r="J125">
        <f t="shared" si="16"/>
        <v>562</v>
      </c>
      <c r="K125">
        <f t="shared" si="18"/>
        <v>0</v>
      </c>
      <c r="L125">
        <f t="shared" si="19"/>
        <v>152</v>
      </c>
      <c r="M125" s="13" t="str">
        <f t="shared" si="21"/>
        <v/>
      </c>
      <c r="AW125" s="12" t="e">
        <f t="shared" si="23"/>
        <v>#N/A</v>
      </c>
      <c r="AX125" t="e">
        <f t="shared" si="23"/>
        <v>#N/A</v>
      </c>
      <c r="AY125" t="e">
        <f t="shared" si="23"/>
        <v>#N/A</v>
      </c>
      <c r="AZ125" t="e">
        <f t="shared" si="23"/>
        <v>#N/A</v>
      </c>
      <c r="BA125">
        <f t="shared" si="23"/>
        <v>562</v>
      </c>
      <c r="BB125" t="e">
        <f t="shared" si="23"/>
        <v>#N/A</v>
      </c>
      <c r="BC125" s="13" t="e">
        <f t="shared" si="23"/>
        <v>#N/A</v>
      </c>
    </row>
    <row r="126" spans="2:55" x14ac:dyDescent="0.45">
      <c r="B126" s="11">
        <v>5</v>
      </c>
      <c r="C126" s="13">
        <v>116</v>
      </c>
      <c r="D126">
        <v>4</v>
      </c>
      <c r="E126">
        <v>1</v>
      </c>
      <c r="F126">
        <v>1</v>
      </c>
      <c r="G126">
        <v>151</v>
      </c>
      <c r="H126" s="13">
        <v>163</v>
      </c>
      <c r="I126">
        <f t="shared" si="17"/>
        <v>562</v>
      </c>
      <c r="J126">
        <f t="shared" si="16"/>
        <v>550</v>
      </c>
      <c r="K126">
        <f t="shared" si="18"/>
        <v>0</v>
      </c>
      <c r="L126">
        <f t="shared" si="19"/>
        <v>163</v>
      </c>
      <c r="M126" s="13" t="str">
        <f t="shared" si="21"/>
        <v/>
      </c>
      <c r="AW126" s="12" t="e">
        <f t="shared" si="23"/>
        <v>#N/A</v>
      </c>
      <c r="AX126" t="e">
        <f t="shared" si="23"/>
        <v>#N/A</v>
      </c>
      <c r="AY126" t="e">
        <f t="shared" si="23"/>
        <v>#N/A</v>
      </c>
      <c r="AZ126" t="e">
        <f t="shared" si="23"/>
        <v>#N/A</v>
      </c>
      <c r="BA126">
        <f t="shared" si="23"/>
        <v>550</v>
      </c>
      <c r="BB126" t="e">
        <f t="shared" si="23"/>
        <v>#N/A</v>
      </c>
      <c r="BC126" s="13" t="e">
        <f t="shared" si="23"/>
        <v>#N/A</v>
      </c>
    </row>
    <row r="127" spans="2:55" x14ac:dyDescent="0.45">
      <c r="B127" s="11">
        <v>5</v>
      </c>
      <c r="C127" s="13">
        <v>117</v>
      </c>
      <c r="D127">
        <v>5</v>
      </c>
      <c r="E127">
        <v>1</v>
      </c>
      <c r="F127">
        <v>1</v>
      </c>
      <c r="G127">
        <v>171</v>
      </c>
      <c r="H127" s="13">
        <v>158</v>
      </c>
      <c r="I127">
        <f t="shared" si="17"/>
        <v>550</v>
      </c>
      <c r="J127">
        <f t="shared" si="16"/>
        <v>563</v>
      </c>
      <c r="K127">
        <f t="shared" si="18"/>
        <v>0</v>
      </c>
      <c r="L127">
        <f t="shared" si="19"/>
        <v>158</v>
      </c>
      <c r="M127" s="13" t="str">
        <f t="shared" si="21"/>
        <v/>
      </c>
      <c r="AW127" s="12" t="e">
        <f t="shared" si="23"/>
        <v>#N/A</v>
      </c>
      <c r="AX127" t="e">
        <f t="shared" si="23"/>
        <v>#N/A</v>
      </c>
      <c r="AY127" t="e">
        <f t="shared" si="23"/>
        <v>#N/A</v>
      </c>
      <c r="AZ127" t="e">
        <f t="shared" si="23"/>
        <v>#N/A</v>
      </c>
      <c r="BA127">
        <f t="shared" si="23"/>
        <v>563</v>
      </c>
      <c r="BB127" t="e">
        <f t="shared" si="23"/>
        <v>#N/A</v>
      </c>
      <c r="BC127" s="13" t="e">
        <f t="shared" si="23"/>
        <v>#N/A</v>
      </c>
    </row>
    <row r="128" spans="2:55" x14ac:dyDescent="0.45">
      <c r="B128" s="11">
        <v>5</v>
      </c>
      <c r="C128" s="13">
        <v>118</v>
      </c>
      <c r="D128">
        <v>6</v>
      </c>
      <c r="E128">
        <v>0</v>
      </c>
      <c r="F128">
        <v>0</v>
      </c>
      <c r="G128">
        <v>0</v>
      </c>
      <c r="H128" s="13">
        <v>0</v>
      </c>
      <c r="I128">
        <f t="shared" si="17"/>
        <v>563</v>
      </c>
      <c r="J128">
        <f t="shared" si="16"/>
        <v>563</v>
      </c>
      <c r="K128">
        <f t="shared" si="18"/>
        <v>0</v>
      </c>
      <c r="L128" t="str">
        <f t="shared" si="19"/>
        <v/>
      </c>
      <c r="M128" s="13" t="str">
        <f t="shared" si="21"/>
        <v/>
      </c>
      <c r="AW128" s="12" t="e">
        <f t="shared" si="23"/>
        <v>#N/A</v>
      </c>
      <c r="AX128" t="e">
        <f t="shared" si="23"/>
        <v>#N/A</v>
      </c>
      <c r="AY128" t="e">
        <f t="shared" si="23"/>
        <v>#N/A</v>
      </c>
      <c r="AZ128" t="e">
        <f t="shared" si="23"/>
        <v>#N/A</v>
      </c>
      <c r="BA128">
        <f t="shared" si="23"/>
        <v>563</v>
      </c>
      <c r="BB128" t="e">
        <f t="shared" si="23"/>
        <v>#N/A</v>
      </c>
      <c r="BC128" s="13" t="e">
        <f t="shared" si="23"/>
        <v>#N/A</v>
      </c>
    </row>
    <row r="129" spans="2:55" x14ac:dyDescent="0.45">
      <c r="B129" s="11">
        <v>5</v>
      </c>
      <c r="C129" s="13">
        <v>119</v>
      </c>
      <c r="D129" s="15">
        <v>7</v>
      </c>
      <c r="E129" s="15">
        <v>0</v>
      </c>
      <c r="F129" s="15">
        <v>0</v>
      </c>
      <c r="G129" s="15">
        <v>0</v>
      </c>
      <c r="H129" s="16">
        <v>0</v>
      </c>
      <c r="I129">
        <f t="shared" si="17"/>
        <v>563</v>
      </c>
      <c r="J129">
        <f t="shared" si="16"/>
        <v>563</v>
      </c>
      <c r="K129">
        <f t="shared" si="18"/>
        <v>0</v>
      </c>
      <c r="L129" t="str">
        <f t="shared" si="19"/>
        <v/>
      </c>
      <c r="M129" s="13" t="str">
        <f t="shared" si="21"/>
        <v/>
      </c>
      <c r="AW129" s="12" t="e">
        <f t="shared" si="23"/>
        <v>#N/A</v>
      </c>
      <c r="AX129" t="e">
        <f t="shared" si="23"/>
        <v>#N/A</v>
      </c>
      <c r="AY129" t="e">
        <f t="shared" si="23"/>
        <v>#N/A</v>
      </c>
      <c r="AZ129" t="e">
        <f t="shared" si="23"/>
        <v>#N/A</v>
      </c>
      <c r="BA129">
        <f t="shared" si="23"/>
        <v>563</v>
      </c>
      <c r="BB129" t="e">
        <f t="shared" si="23"/>
        <v>#N/A</v>
      </c>
      <c r="BC129" s="13" t="e">
        <f t="shared" si="23"/>
        <v>#N/A</v>
      </c>
    </row>
    <row r="130" spans="2:55" x14ac:dyDescent="0.45">
      <c r="B130" s="11">
        <v>5</v>
      </c>
      <c r="C130" s="13">
        <v>120</v>
      </c>
      <c r="D130" s="8">
        <v>1</v>
      </c>
      <c r="E130" s="8">
        <v>1</v>
      </c>
      <c r="F130" s="8">
        <v>1</v>
      </c>
      <c r="G130" s="8">
        <v>177</v>
      </c>
      <c r="H130" s="10">
        <v>147</v>
      </c>
      <c r="I130">
        <f t="shared" si="17"/>
        <v>563</v>
      </c>
      <c r="J130">
        <f t="shared" si="16"/>
        <v>593</v>
      </c>
      <c r="K130">
        <f t="shared" si="18"/>
        <v>0</v>
      </c>
      <c r="L130">
        <f t="shared" si="19"/>
        <v>147</v>
      </c>
      <c r="M130" s="13" t="str">
        <f t="shared" si="21"/>
        <v/>
      </c>
      <c r="AW130" s="12" t="e">
        <f t="shared" si="23"/>
        <v>#N/A</v>
      </c>
      <c r="AX130" t="e">
        <f t="shared" si="23"/>
        <v>#N/A</v>
      </c>
      <c r="AY130" t="e">
        <f t="shared" si="23"/>
        <v>#N/A</v>
      </c>
      <c r="AZ130" t="e">
        <f t="shared" si="23"/>
        <v>#N/A</v>
      </c>
      <c r="BA130">
        <f t="shared" si="23"/>
        <v>593</v>
      </c>
      <c r="BB130" t="e">
        <f t="shared" si="23"/>
        <v>#N/A</v>
      </c>
      <c r="BC130" s="13" t="e">
        <f t="shared" si="23"/>
        <v>#N/A</v>
      </c>
    </row>
    <row r="131" spans="2:55" x14ac:dyDescent="0.45">
      <c r="B131" s="11">
        <v>5</v>
      </c>
      <c r="C131" s="13">
        <v>121</v>
      </c>
      <c r="D131">
        <v>2</v>
      </c>
      <c r="E131">
        <v>1</v>
      </c>
      <c r="F131">
        <v>1</v>
      </c>
      <c r="G131">
        <v>152</v>
      </c>
      <c r="H131" s="13">
        <v>164</v>
      </c>
      <c r="I131">
        <f t="shared" si="17"/>
        <v>593</v>
      </c>
      <c r="J131">
        <f t="shared" si="16"/>
        <v>581</v>
      </c>
      <c r="K131">
        <f t="shared" si="18"/>
        <v>0</v>
      </c>
      <c r="L131">
        <f t="shared" si="19"/>
        <v>164</v>
      </c>
      <c r="M131" s="13" t="str">
        <f t="shared" si="21"/>
        <v/>
      </c>
      <c r="AW131" s="12" t="e">
        <f t="shared" si="23"/>
        <v>#N/A</v>
      </c>
      <c r="AX131" t="e">
        <f t="shared" si="23"/>
        <v>#N/A</v>
      </c>
      <c r="AY131" t="e">
        <f t="shared" si="23"/>
        <v>#N/A</v>
      </c>
      <c r="AZ131" t="e">
        <f t="shared" si="23"/>
        <v>#N/A</v>
      </c>
      <c r="BA131">
        <f t="shared" si="23"/>
        <v>581</v>
      </c>
      <c r="BB131" t="e">
        <f t="shared" si="23"/>
        <v>#N/A</v>
      </c>
      <c r="BC131" s="13" t="e">
        <f t="shared" si="23"/>
        <v>#N/A</v>
      </c>
    </row>
    <row r="132" spans="2:55" x14ac:dyDescent="0.45">
      <c r="B132" s="11">
        <v>5</v>
      </c>
      <c r="C132" s="13">
        <v>122</v>
      </c>
      <c r="D132">
        <v>3</v>
      </c>
      <c r="E132">
        <v>1</v>
      </c>
      <c r="F132">
        <v>1</v>
      </c>
      <c r="G132">
        <v>169</v>
      </c>
      <c r="H132" s="13">
        <v>156</v>
      </c>
      <c r="I132">
        <f t="shared" si="17"/>
        <v>581</v>
      </c>
      <c r="J132">
        <f t="shared" si="16"/>
        <v>594</v>
      </c>
      <c r="K132">
        <f t="shared" si="18"/>
        <v>0</v>
      </c>
      <c r="L132">
        <f t="shared" si="19"/>
        <v>156</v>
      </c>
      <c r="M132" s="13" t="str">
        <f t="shared" si="21"/>
        <v/>
      </c>
      <c r="AW132" s="12" t="e">
        <f t="shared" si="23"/>
        <v>#N/A</v>
      </c>
      <c r="AX132" t="e">
        <f t="shared" si="23"/>
        <v>#N/A</v>
      </c>
      <c r="AY132" t="e">
        <f t="shared" si="23"/>
        <v>#N/A</v>
      </c>
      <c r="AZ132" t="e">
        <f t="shared" si="23"/>
        <v>#N/A</v>
      </c>
      <c r="BA132">
        <f t="shared" si="23"/>
        <v>594</v>
      </c>
      <c r="BB132" t="e">
        <f t="shared" si="23"/>
        <v>#N/A</v>
      </c>
      <c r="BC132" s="13" t="e">
        <f t="shared" si="23"/>
        <v>#N/A</v>
      </c>
    </row>
    <row r="133" spans="2:55" x14ac:dyDescent="0.45">
      <c r="B133" s="11">
        <v>5</v>
      </c>
      <c r="C133" s="13">
        <v>123</v>
      </c>
      <c r="D133">
        <v>4</v>
      </c>
      <c r="E133">
        <v>1</v>
      </c>
      <c r="F133">
        <v>1</v>
      </c>
      <c r="G133">
        <v>159</v>
      </c>
      <c r="H133" s="13">
        <v>141</v>
      </c>
      <c r="I133">
        <f t="shared" si="17"/>
        <v>594</v>
      </c>
      <c r="J133">
        <f t="shared" si="16"/>
        <v>612</v>
      </c>
      <c r="K133">
        <f t="shared" si="18"/>
        <v>0</v>
      </c>
      <c r="L133">
        <f t="shared" si="19"/>
        <v>141</v>
      </c>
      <c r="M133" s="13" t="str">
        <f t="shared" si="21"/>
        <v/>
      </c>
      <c r="AW133" s="12" t="e">
        <f t="shared" si="23"/>
        <v>#N/A</v>
      </c>
      <c r="AX133" t="e">
        <f t="shared" si="23"/>
        <v>#N/A</v>
      </c>
      <c r="AY133" t="e">
        <f t="shared" si="23"/>
        <v>#N/A</v>
      </c>
      <c r="AZ133" t="e">
        <f t="shared" si="23"/>
        <v>#N/A</v>
      </c>
      <c r="BA133">
        <f t="shared" si="23"/>
        <v>612</v>
      </c>
      <c r="BB133" t="e">
        <f t="shared" si="23"/>
        <v>#N/A</v>
      </c>
      <c r="BC133" s="13" t="e">
        <f t="shared" si="23"/>
        <v>#N/A</v>
      </c>
    </row>
    <row r="134" spans="2:55" x14ac:dyDescent="0.45">
      <c r="B134" s="11">
        <v>5</v>
      </c>
      <c r="C134" s="13">
        <v>124</v>
      </c>
      <c r="D134">
        <v>5</v>
      </c>
      <c r="E134">
        <v>1</v>
      </c>
      <c r="F134">
        <v>1</v>
      </c>
      <c r="G134">
        <v>155</v>
      </c>
      <c r="H134" s="13">
        <v>155</v>
      </c>
      <c r="I134">
        <f t="shared" si="17"/>
        <v>612</v>
      </c>
      <c r="J134">
        <f t="shared" si="16"/>
        <v>612</v>
      </c>
      <c r="K134">
        <f t="shared" si="18"/>
        <v>0</v>
      </c>
      <c r="L134">
        <f t="shared" si="19"/>
        <v>155</v>
      </c>
      <c r="M134" s="13" t="str">
        <f t="shared" si="21"/>
        <v/>
      </c>
      <c r="AW134" s="12" t="e">
        <f t="shared" si="23"/>
        <v>#N/A</v>
      </c>
      <c r="AX134" t="e">
        <f t="shared" si="23"/>
        <v>#N/A</v>
      </c>
      <c r="AY134" t="e">
        <f t="shared" si="23"/>
        <v>#N/A</v>
      </c>
      <c r="AZ134" t="e">
        <f t="shared" si="23"/>
        <v>#N/A</v>
      </c>
      <c r="BA134">
        <f t="shared" si="23"/>
        <v>612</v>
      </c>
      <c r="BB134" t="e">
        <f t="shared" si="23"/>
        <v>#N/A</v>
      </c>
      <c r="BC134" s="13" t="e">
        <f t="shared" si="23"/>
        <v>#N/A</v>
      </c>
    </row>
    <row r="135" spans="2:55" x14ac:dyDescent="0.45">
      <c r="B135" s="11">
        <v>5</v>
      </c>
      <c r="C135" s="13">
        <v>125</v>
      </c>
      <c r="D135">
        <v>6</v>
      </c>
      <c r="E135">
        <v>0</v>
      </c>
      <c r="F135">
        <v>0</v>
      </c>
      <c r="G135">
        <v>0</v>
      </c>
      <c r="H135" s="13">
        <v>0</v>
      </c>
      <c r="I135">
        <f t="shared" si="17"/>
        <v>612</v>
      </c>
      <c r="J135">
        <f t="shared" si="16"/>
        <v>612</v>
      </c>
      <c r="K135">
        <f t="shared" si="18"/>
        <v>0</v>
      </c>
      <c r="L135" t="str">
        <f t="shared" si="19"/>
        <v/>
      </c>
      <c r="M135" s="13" t="str">
        <f t="shared" si="21"/>
        <v/>
      </c>
      <c r="AW135" s="12" t="e">
        <f t="shared" si="23"/>
        <v>#N/A</v>
      </c>
      <c r="AX135" t="e">
        <f t="shared" si="23"/>
        <v>#N/A</v>
      </c>
      <c r="AY135" t="e">
        <f t="shared" si="23"/>
        <v>#N/A</v>
      </c>
      <c r="AZ135" t="e">
        <f t="shared" si="23"/>
        <v>#N/A</v>
      </c>
      <c r="BA135">
        <f t="shared" si="23"/>
        <v>612</v>
      </c>
      <c r="BB135" t="e">
        <f t="shared" si="23"/>
        <v>#N/A</v>
      </c>
      <c r="BC135" s="13" t="e">
        <f t="shared" si="23"/>
        <v>#N/A</v>
      </c>
    </row>
    <row r="136" spans="2:55" x14ac:dyDescent="0.45">
      <c r="B136" s="11">
        <v>5</v>
      </c>
      <c r="C136" s="13">
        <v>126</v>
      </c>
      <c r="D136" s="15">
        <v>7</v>
      </c>
      <c r="E136" s="15">
        <v>0</v>
      </c>
      <c r="F136" s="15">
        <v>0</v>
      </c>
      <c r="G136" s="15">
        <v>0</v>
      </c>
      <c r="H136" s="16">
        <v>0</v>
      </c>
      <c r="I136">
        <f t="shared" si="17"/>
        <v>612</v>
      </c>
      <c r="J136">
        <f t="shared" si="16"/>
        <v>612</v>
      </c>
      <c r="K136">
        <f t="shared" si="18"/>
        <v>0</v>
      </c>
      <c r="L136" t="str">
        <f t="shared" si="19"/>
        <v/>
      </c>
      <c r="M136" s="13" t="str">
        <f t="shared" si="21"/>
        <v/>
      </c>
      <c r="AW136" s="12" t="e">
        <f t="shared" si="23"/>
        <v>#N/A</v>
      </c>
      <c r="AX136" t="e">
        <f t="shared" si="23"/>
        <v>#N/A</v>
      </c>
      <c r="AY136" t="e">
        <f t="shared" si="23"/>
        <v>#N/A</v>
      </c>
      <c r="AZ136" t="e">
        <f t="shared" si="23"/>
        <v>#N/A</v>
      </c>
      <c r="BA136">
        <f t="shared" si="23"/>
        <v>612</v>
      </c>
      <c r="BB136" t="e">
        <f t="shared" si="23"/>
        <v>#N/A</v>
      </c>
      <c r="BC136" s="13" t="e">
        <f t="shared" si="23"/>
        <v>#N/A</v>
      </c>
    </row>
    <row r="137" spans="2:55" x14ac:dyDescent="0.45">
      <c r="B137" s="11">
        <v>5</v>
      </c>
      <c r="C137" s="13">
        <v>127</v>
      </c>
      <c r="D137" s="8">
        <v>1</v>
      </c>
      <c r="E137" s="8">
        <v>1</v>
      </c>
      <c r="F137" s="8">
        <v>1</v>
      </c>
      <c r="G137" s="8">
        <v>178</v>
      </c>
      <c r="H137" s="10">
        <v>155</v>
      </c>
      <c r="I137">
        <f t="shared" si="17"/>
        <v>612</v>
      </c>
      <c r="J137">
        <f t="shared" si="16"/>
        <v>635</v>
      </c>
      <c r="K137">
        <f t="shared" si="18"/>
        <v>0</v>
      </c>
      <c r="L137">
        <f t="shared" si="19"/>
        <v>155</v>
      </c>
      <c r="M137" s="13" t="str">
        <f t="shared" si="21"/>
        <v/>
      </c>
      <c r="AW137" s="12" t="e">
        <f t="shared" si="23"/>
        <v>#N/A</v>
      </c>
      <c r="AX137" t="e">
        <f t="shared" si="23"/>
        <v>#N/A</v>
      </c>
      <c r="AY137" t="e">
        <f t="shared" si="23"/>
        <v>#N/A</v>
      </c>
      <c r="AZ137" t="e">
        <f t="shared" si="23"/>
        <v>#N/A</v>
      </c>
      <c r="BA137">
        <f t="shared" si="23"/>
        <v>635</v>
      </c>
      <c r="BB137" t="e">
        <f t="shared" si="23"/>
        <v>#N/A</v>
      </c>
      <c r="BC137" s="13" t="e">
        <f t="shared" si="23"/>
        <v>#N/A</v>
      </c>
    </row>
    <row r="138" spans="2:55" x14ac:dyDescent="0.45">
      <c r="B138" s="11">
        <v>5</v>
      </c>
      <c r="C138" s="13">
        <v>128</v>
      </c>
      <c r="D138">
        <v>2</v>
      </c>
      <c r="E138">
        <v>1</v>
      </c>
      <c r="F138">
        <v>1</v>
      </c>
      <c r="G138">
        <v>181</v>
      </c>
      <c r="H138" s="13">
        <v>158</v>
      </c>
      <c r="I138">
        <f t="shared" si="17"/>
        <v>635</v>
      </c>
      <c r="J138">
        <f t="shared" si="16"/>
        <v>658</v>
      </c>
      <c r="K138">
        <f t="shared" si="18"/>
        <v>0</v>
      </c>
      <c r="L138">
        <f t="shared" si="19"/>
        <v>158</v>
      </c>
      <c r="M138" s="13" t="str">
        <f t="shared" si="21"/>
        <v/>
      </c>
      <c r="AW138" s="12" t="e">
        <f t="shared" si="23"/>
        <v>#N/A</v>
      </c>
      <c r="AX138" t="e">
        <f t="shared" si="23"/>
        <v>#N/A</v>
      </c>
      <c r="AY138" t="e">
        <f t="shared" si="23"/>
        <v>#N/A</v>
      </c>
      <c r="AZ138" t="e">
        <f t="shared" si="23"/>
        <v>#N/A</v>
      </c>
      <c r="BA138">
        <f t="shared" si="23"/>
        <v>658</v>
      </c>
      <c r="BB138" t="e">
        <f t="shared" si="23"/>
        <v>#N/A</v>
      </c>
      <c r="BC138" s="13" t="e">
        <f t="shared" si="23"/>
        <v>#N/A</v>
      </c>
    </row>
    <row r="139" spans="2:55" x14ac:dyDescent="0.45">
      <c r="B139" s="11">
        <v>5</v>
      </c>
      <c r="C139" s="13">
        <v>129</v>
      </c>
      <c r="D139">
        <v>3</v>
      </c>
      <c r="E139">
        <v>1</v>
      </c>
      <c r="F139">
        <v>1</v>
      </c>
      <c r="G139">
        <v>188</v>
      </c>
      <c r="H139" s="13">
        <v>147</v>
      </c>
      <c r="I139">
        <f t="shared" si="17"/>
        <v>658</v>
      </c>
      <c r="J139">
        <f t="shared" si="16"/>
        <v>699</v>
      </c>
      <c r="K139">
        <f t="shared" si="18"/>
        <v>0</v>
      </c>
      <c r="L139">
        <f t="shared" si="19"/>
        <v>147</v>
      </c>
      <c r="M139" s="13" t="str">
        <f t="shared" si="21"/>
        <v/>
      </c>
      <c r="AW139" s="12" t="e">
        <f t="shared" ref="AW139:BC154" si="24">IF($B139=AW$10,$J139,NA())</f>
        <v>#N/A</v>
      </c>
      <c r="AX139" t="e">
        <f t="shared" si="24"/>
        <v>#N/A</v>
      </c>
      <c r="AY139" t="e">
        <f t="shared" si="24"/>
        <v>#N/A</v>
      </c>
      <c r="AZ139" t="e">
        <f t="shared" si="24"/>
        <v>#N/A</v>
      </c>
      <c r="BA139">
        <f t="shared" si="24"/>
        <v>699</v>
      </c>
      <c r="BB139" t="e">
        <f t="shared" si="24"/>
        <v>#N/A</v>
      </c>
      <c r="BC139" s="13" t="e">
        <f t="shared" si="24"/>
        <v>#N/A</v>
      </c>
    </row>
    <row r="140" spans="2:55" x14ac:dyDescent="0.45">
      <c r="B140" s="11">
        <v>5</v>
      </c>
      <c r="C140" s="13">
        <v>130</v>
      </c>
      <c r="D140">
        <v>4</v>
      </c>
      <c r="E140">
        <v>1</v>
      </c>
      <c r="F140">
        <v>1</v>
      </c>
      <c r="G140">
        <v>186</v>
      </c>
      <c r="H140" s="13">
        <v>147</v>
      </c>
      <c r="I140">
        <f t="shared" si="17"/>
        <v>699</v>
      </c>
      <c r="J140">
        <f t="shared" ref="J140:J203" si="25">I140+G140-H140</f>
        <v>738</v>
      </c>
      <c r="K140">
        <f t="shared" si="18"/>
        <v>0</v>
      </c>
      <c r="L140">
        <f t="shared" si="19"/>
        <v>147</v>
      </c>
      <c r="M140" s="13" t="str">
        <f t="shared" si="21"/>
        <v/>
      </c>
      <c r="AW140" s="12" t="e">
        <f t="shared" si="24"/>
        <v>#N/A</v>
      </c>
      <c r="AX140" t="e">
        <f t="shared" si="24"/>
        <v>#N/A</v>
      </c>
      <c r="AY140" t="e">
        <f t="shared" si="24"/>
        <v>#N/A</v>
      </c>
      <c r="AZ140" t="e">
        <f t="shared" si="24"/>
        <v>#N/A</v>
      </c>
      <c r="BA140">
        <f t="shared" si="24"/>
        <v>738</v>
      </c>
      <c r="BB140" t="e">
        <f t="shared" si="24"/>
        <v>#N/A</v>
      </c>
      <c r="BC140" s="13" t="e">
        <f t="shared" si="24"/>
        <v>#N/A</v>
      </c>
    </row>
    <row r="141" spans="2:55" x14ac:dyDescent="0.45">
      <c r="B141" s="11">
        <v>5</v>
      </c>
      <c r="C141" s="13">
        <v>131</v>
      </c>
      <c r="D141">
        <v>5</v>
      </c>
      <c r="E141">
        <v>1</v>
      </c>
      <c r="F141">
        <v>1</v>
      </c>
      <c r="G141">
        <v>190</v>
      </c>
      <c r="H141" s="13">
        <v>161</v>
      </c>
      <c r="I141">
        <f t="shared" ref="I141:I204" si="26">J140</f>
        <v>738</v>
      </c>
      <c r="J141">
        <f t="shared" si="25"/>
        <v>767</v>
      </c>
      <c r="K141">
        <f t="shared" ref="K141:K204" si="27">IF(AND(H141=I141,F141=1),1,0)</f>
        <v>0</v>
      </c>
      <c r="L141">
        <f t="shared" ref="L141:L204" si="28">IF(OR(F141=0,K141=1),"",H141)</f>
        <v>161</v>
      </c>
      <c r="M141" s="13" t="str">
        <f t="shared" si="21"/>
        <v/>
      </c>
      <c r="AW141" s="12" t="e">
        <f t="shared" si="24"/>
        <v>#N/A</v>
      </c>
      <c r="AX141" t="e">
        <f t="shared" si="24"/>
        <v>#N/A</v>
      </c>
      <c r="AY141" t="e">
        <f t="shared" si="24"/>
        <v>#N/A</v>
      </c>
      <c r="AZ141" t="e">
        <f t="shared" si="24"/>
        <v>#N/A</v>
      </c>
      <c r="BA141">
        <f t="shared" si="24"/>
        <v>767</v>
      </c>
      <c r="BB141" t="e">
        <f t="shared" si="24"/>
        <v>#N/A</v>
      </c>
      <c r="BC141" s="13" t="e">
        <f t="shared" si="24"/>
        <v>#N/A</v>
      </c>
    </row>
    <row r="142" spans="2:55" x14ac:dyDescent="0.45">
      <c r="B142" s="11">
        <v>5</v>
      </c>
      <c r="C142" s="13">
        <v>132</v>
      </c>
      <c r="D142">
        <v>6</v>
      </c>
      <c r="E142">
        <v>0</v>
      </c>
      <c r="F142">
        <v>0</v>
      </c>
      <c r="G142">
        <v>0</v>
      </c>
      <c r="H142" s="13">
        <v>0</v>
      </c>
      <c r="I142">
        <f t="shared" si="26"/>
        <v>767</v>
      </c>
      <c r="J142">
        <f t="shared" si="25"/>
        <v>767</v>
      </c>
      <c r="K142">
        <f t="shared" si="27"/>
        <v>0</v>
      </c>
      <c r="L142" t="str">
        <f t="shared" si="28"/>
        <v/>
      </c>
      <c r="M142" s="13" t="str">
        <f t="shared" si="21"/>
        <v/>
      </c>
      <c r="AW142" s="12" t="e">
        <f t="shared" si="24"/>
        <v>#N/A</v>
      </c>
      <c r="AX142" t="e">
        <f t="shared" si="24"/>
        <v>#N/A</v>
      </c>
      <c r="AY142" t="e">
        <f t="shared" si="24"/>
        <v>#N/A</v>
      </c>
      <c r="AZ142" t="e">
        <f t="shared" si="24"/>
        <v>#N/A</v>
      </c>
      <c r="BA142">
        <f t="shared" si="24"/>
        <v>767</v>
      </c>
      <c r="BB142" t="e">
        <f t="shared" si="24"/>
        <v>#N/A</v>
      </c>
      <c r="BC142" s="13" t="e">
        <f t="shared" si="24"/>
        <v>#N/A</v>
      </c>
    </row>
    <row r="143" spans="2:55" x14ac:dyDescent="0.45">
      <c r="B143" s="11">
        <v>5</v>
      </c>
      <c r="C143" s="13">
        <v>133</v>
      </c>
      <c r="D143" s="15">
        <v>7</v>
      </c>
      <c r="E143" s="15">
        <v>0</v>
      </c>
      <c r="F143" s="15">
        <v>0</v>
      </c>
      <c r="G143" s="15">
        <v>0</v>
      </c>
      <c r="H143" s="16">
        <v>0</v>
      </c>
      <c r="I143">
        <f t="shared" si="26"/>
        <v>767</v>
      </c>
      <c r="J143">
        <f t="shared" si="25"/>
        <v>767</v>
      </c>
      <c r="K143">
        <f t="shared" si="27"/>
        <v>0</v>
      </c>
      <c r="L143" t="str">
        <f t="shared" si="28"/>
        <v/>
      </c>
      <c r="M143" s="13" t="str">
        <f t="shared" si="21"/>
        <v/>
      </c>
      <c r="AW143" s="12" t="e">
        <f t="shared" si="24"/>
        <v>#N/A</v>
      </c>
      <c r="AX143" t="e">
        <f t="shared" si="24"/>
        <v>#N/A</v>
      </c>
      <c r="AY143" t="e">
        <f t="shared" si="24"/>
        <v>#N/A</v>
      </c>
      <c r="AZ143" t="e">
        <f t="shared" si="24"/>
        <v>#N/A</v>
      </c>
      <c r="BA143">
        <f t="shared" si="24"/>
        <v>767</v>
      </c>
      <c r="BB143" t="e">
        <f t="shared" si="24"/>
        <v>#N/A</v>
      </c>
      <c r="BC143" s="13" t="e">
        <f t="shared" si="24"/>
        <v>#N/A</v>
      </c>
    </row>
    <row r="144" spans="2:55" x14ac:dyDescent="0.45">
      <c r="B144" s="11">
        <v>5</v>
      </c>
      <c r="C144" s="13">
        <v>134</v>
      </c>
      <c r="D144" s="8">
        <v>1</v>
      </c>
      <c r="E144" s="8">
        <v>1</v>
      </c>
      <c r="F144" s="8">
        <v>1</v>
      </c>
      <c r="G144" s="8">
        <v>185</v>
      </c>
      <c r="H144" s="10">
        <v>140</v>
      </c>
      <c r="I144">
        <f t="shared" si="26"/>
        <v>767</v>
      </c>
      <c r="J144">
        <f t="shared" si="25"/>
        <v>812</v>
      </c>
      <c r="K144">
        <f t="shared" si="27"/>
        <v>0</v>
      </c>
      <c r="L144">
        <f t="shared" si="28"/>
        <v>140</v>
      </c>
      <c r="M144" s="13" t="str">
        <f t="shared" si="21"/>
        <v/>
      </c>
      <c r="AW144" s="12" t="e">
        <f t="shared" si="24"/>
        <v>#N/A</v>
      </c>
      <c r="AX144" t="e">
        <f t="shared" si="24"/>
        <v>#N/A</v>
      </c>
      <c r="AY144" t="e">
        <f t="shared" si="24"/>
        <v>#N/A</v>
      </c>
      <c r="AZ144" t="e">
        <f t="shared" si="24"/>
        <v>#N/A</v>
      </c>
      <c r="BA144">
        <f t="shared" si="24"/>
        <v>812</v>
      </c>
      <c r="BB144" t="e">
        <f t="shared" si="24"/>
        <v>#N/A</v>
      </c>
      <c r="BC144" s="13" t="e">
        <f t="shared" si="24"/>
        <v>#N/A</v>
      </c>
    </row>
    <row r="145" spans="2:55" x14ac:dyDescent="0.45">
      <c r="B145" s="11">
        <v>5</v>
      </c>
      <c r="C145" s="13">
        <v>135</v>
      </c>
      <c r="D145">
        <v>2</v>
      </c>
      <c r="E145">
        <v>1</v>
      </c>
      <c r="F145">
        <v>1</v>
      </c>
      <c r="G145">
        <v>190</v>
      </c>
      <c r="H145" s="13">
        <v>153</v>
      </c>
      <c r="I145">
        <f t="shared" si="26"/>
        <v>812</v>
      </c>
      <c r="J145">
        <f t="shared" si="25"/>
        <v>849</v>
      </c>
      <c r="K145">
        <f t="shared" si="27"/>
        <v>0</v>
      </c>
      <c r="L145">
        <f t="shared" si="28"/>
        <v>153</v>
      </c>
      <c r="M145" s="13" t="str">
        <f t="shared" si="21"/>
        <v/>
      </c>
      <c r="AW145" s="12" t="e">
        <f t="shared" si="24"/>
        <v>#N/A</v>
      </c>
      <c r="AX145" t="e">
        <f t="shared" si="24"/>
        <v>#N/A</v>
      </c>
      <c r="AY145" t="e">
        <f t="shared" si="24"/>
        <v>#N/A</v>
      </c>
      <c r="AZ145" t="e">
        <f t="shared" si="24"/>
        <v>#N/A</v>
      </c>
      <c r="BA145">
        <f t="shared" si="24"/>
        <v>849</v>
      </c>
      <c r="BB145" t="e">
        <f t="shared" si="24"/>
        <v>#N/A</v>
      </c>
      <c r="BC145" s="13" t="e">
        <f t="shared" si="24"/>
        <v>#N/A</v>
      </c>
    </row>
    <row r="146" spans="2:55" x14ac:dyDescent="0.45">
      <c r="B146" s="11">
        <v>5</v>
      </c>
      <c r="C146" s="13">
        <v>136</v>
      </c>
      <c r="D146">
        <v>3</v>
      </c>
      <c r="E146">
        <v>1</v>
      </c>
      <c r="F146">
        <v>1</v>
      </c>
      <c r="G146">
        <v>175</v>
      </c>
      <c r="H146" s="13">
        <v>151</v>
      </c>
      <c r="I146">
        <f t="shared" si="26"/>
        <v>849</v>
      </c>
      <c r="J146">
        <f t="shared" si="25"/>
        <v>873</v>
      </c>
      <c r="K146">
        <f t="shared" si="27"/>
        <v>0</v>
      </c>
      <c r="L146">
        <f t="shared" si="28"/>
        <v>151</v>
      </c>
      <c r="M146" s="13" t="str">
        <f t="shared" si="21"/>
        <v/>
      </c>
      <c r="AW146" s="12" t="e">
        <f t="shared" si="24"/>
        <v>#N/A</v>
      </c>
      <c r="AX146" t="e">
        <f t="shared" si="24"/>
        <v>#N/A</v>
      </c>
      <c r="AY146" t="e">
        <f t="shared" si="24"/>
        <v>#N/A</v>
      </c>
      <c r="AZ146" t="e">
        <f t="shared" si="24"/>
        <v>#N/A</v>
      </c>
      <c r="BA146">
        <f t="shared" si="24"/>
        <v>873</v>
      </c>
      <c r="BB146" t="e">
        <f t="shared" si="24"/>
        <v>#N/A</v>
      </c>
      <c r="BC146" s="13" t="e">
        <f t="shared" si="24"/>
        <v>#N/A</v>
      </c>
    </row>
    <row r="147" spans="2:55" x14ac:dyDescent="0.45">
      <c r="B147" s="11">
        <v>5</v>
      </c>
      <c r="C147" s="13">
        <v>137</v>
      </c>
      <c r="D147">
        <v>4</v>
      </c>
      <c r="E147">
        <v>1</v>
      </c>
      <c r="F147">
        <v>1</v>
      </c>
      <c r="G147">
        <v>185</v>
      </c>
      <c r="H147" s="13">
        <v>142</v>
      </c>
      <c r="I147">
        <f t="shared" si="26"/>
        <v>873</v>
      </c>
      <c r="J147">
        <f t="shared" si="25"/>
        <v>916</v>
      </c>
      <c r="K147">
        <f t="shared" si="27"/>
        <v>0</v>
      </c>
      <c r="L147">
        <f t="shared" si="28"/>
        <v>142</v>
      </c>
      <c r="M147" s="13" t="str">
        <f t="shared" si="21"/>
        <v/>
      </c>
      <c r="AW147" s="12" t="e">
        <f t="shared" si="24"/>
        <v>#N/A</v>
      </c>
      <c r="AX147" t="e">
        <f t="shared" si="24"/>
        <v>#N/A</v>
      </c>
      <c r="AY147" t="e">
        <f t="shared" si="24"/>
        <v>#N/A</v>
      </c>
      <c r="AZ147" t="e">
        <f t="shared" si="24"/>
        <v>#N/A</v>
      </c>
      <c r="BA147">
        <f t="shared" si="24"/>
        <v>916</v>
      </c>
      <c r="BB147" t="e">
        <f t="shared" si="24"/>
        <v>#N/A</v>
      </c>
      <c r="BC147" s="13" t="e">
        <f t="shared" si="24"/>
        <v>#N/A</v>
      </c>
    </row>
    <row r="148" spans="2:55" x14ac:dyDescent="0.45">
      <c r="B148" s="11">
        <v>5</v>
      </c>
      <c r="C148" s="13">
        <v>138</v>
      </c>
      <c r="D148">
        <v>5</v>
      </c>
      <c r="E148">
        <v>1</v>
      </c>
      <c r="F148">
        <v>1</v>
      </c>
      <c r="G148">
        <v>175</v>
      </c>
      <c r="H148" s="13">
        <v>165</v>
      </c>
      <c r="I148">
        <f t="shared" si="26"/>
        <v>916</v>
      </c>
      <c r="J148">
        <f t="shared" si="25"/>
        <v>926</v>
      </c>
      <c r="K148">
        <f t="shared" si="27"/>
        <v>0</v>
      </c>
      <c r="L148">
        <f t="shared" si="28"/>
        <v>165</v>
      </c>
      <c r="M148" s="13" t="str">
        <f t="shared" si="21"/>
        <v/>
      </c>
      <c r="AW148" s="12" t="e">
        <f t="shared" si="24"/>
        <v>#N/A</v>
      </c>
      <c r="AX148" t="e">
        <f t="shared" si="24"/>
        <v>#N/A</v>
      </c>
      <c r="AY148" t="e">
        <f t="shared" si="24"/>
        <v>#N/A</v>
      </c>
      <c r="AZ148" t="e">
        <f t="shared" si="24"/>
        <v>#N/A</v>
      </c>
      <c r="BA148">
        <f t="shared" si="24"/>
        <v>926</v>
      </c>
      <c r="BB148" t="e">
        <f t="shared" si="24"/>
        <v>#N/A</v>
      </c>
      <c r="BC148" s="13" t="e">
        <f t="shared" si="24"/>
        <v>#N/A</v>
      </c>
    </row>
    <row r="149" spans="2:55" x14ac:dyDescent="0.45">
      <c r="B149" s="11">
        <v>5</v>
      </c>
      <c r="C149" s="13">
        <v>139</v>
      </c>
      <c r="D149">
        <v>6</v>
      </c>
      <c r="E149">
        <v>0</v>
      </c>
      <c r="F149">
        <v>0</v>
      </c>
      <c r="G149">
        <v>0</v>
      </c>
      <c r="H149" s="13">
        <v>0</v>
      </c>
      <c r="I149">
        <f t="shared" si="26"/>
        <v>926</v>
      </c>
      <c r="J149">
        <f t="shared" si="25"/>
        <v>926</v>
      </c>
      <c r="K149">
        <f t="shared" si="27"/>
        <v>0</v>
      </c>
      <c r="L149" t="str">
        <f t="shared" si="28"/>
        <v/>
      </c>
      <c r="M149" s="13" t="str">
        <f t="shared" si="21"/>
        <v/>
      </c>
      <c r="AW149" s="12" t="e">
        <f t="shared" si="24"/>
        <v>#N/A</v>
      </c>
      <c r="AX149" t="e">
        <f t="shared" si="24"/>
        <v>#N/A</v>
      </c>
      <c r="AY149" t="e">
        <f t="shared" si="24"/>
        <v>#N/A</v>
      </c>
      <c r="AZ149" t="e">
        <f t="shared" si="24"/>
        <v>#N/A</v>
      </c>
      <c r="BA149">
        <f t="shared" si="24"/>
        <v>926</v>
      </c>
      <c r="BB149" t="e">
        <f t="shared" si="24"/>
        <v>#N/A</v>
      </c>
      <c r="BC149" s="13" t="e">
        <f t="shared" si="24"/>
        <v>#N/A</v>
      </c>
    </row>
    <row r="150" spans="2:55" x14ac:dyDescent="0.45">
      <c r="B150" s="17">
        <v>5</v>
      </c>
      <c r="C150" s="13">
        <v>140</v>
      </c>
      <c r="D150" s="15">
        <v>7</v>
      </c>
      <c r="E150" s="15">
        <v>0</v>
      </c>
      <c r="F150" s="15">
        <v>0</v>
      </c>
      <c r="G150" s="15">
        <v>0</v>
      </c>
      <c r="H150" s="16">
        <v>0</v>
      </c>
      <c r="I150">
        <f t="shared" si="26"/>
        <v>926</v>
      </c>
      <c r="J150">
        <f t="shared" si="25"/>
        <v>926</v>
      </c>
      <c r="K150">
        <f t="shared" si="27"/>
        <v>0</v>
      </c>
      <c r="L150" t="str">
        <f t="shared" si="28"/>
        <v/>
      </c>
      <c r="M150" s="13">
        <f t="shared" si="21"/>
        <v>431</v>
      </c>
      <c r="AW150" s="12" t="e">
        <f t="shared" si="24"/>
        <v>#N/A</v>
      </c>
      <c r="AX150" t="e">
        <f t="shared" si="24"/>
        <v>#N/A</v>
      </c>
      <c r="AY150" t="e">
        <f t="shared" si="24"/>
        <v>#N/A</v>
      </c>
      <c r="AZ150" t="e">
        <f t="shared" si="24"/>
        <v>#N/A</v>
      </c>
      <c r="BA150">
        <f t="shared" si="24"/>
        <v>926</v>
      </c>
      <c r="BB150" t="e">
        <f t="shared" si="24"/>
        <v>#N/A</v>
      </c>
      <c r="BC150" s="13" t="e">
        <f t="shared" si="24"/>
        <v>#N/A</v>
      </c>
    </row>
    <row r="151" spans="2:55" x14ac:dyDescent="0.45">
      <c r="B151" s="7">
        <v>6</v>
      </c>
      <c r="C151" s="13">
        <v>141</v>
      </c>
      <c r="D151" s="8">
        <v>1</v>
      </c>
      <c r="E151" s="8">
        <v>1</v>
      </c>
      <c r="F151" s="8">
        <v>1</v>
      </c>
      <c r="G151" s="8">
        <v>146</v>
      </c>
      <c r="H151" s="10">
        <v>148</v>
      </c>
      <c r="I151">
        <f t="shared" si="26"/>
        <v>926</v>
      </c>
      <c r="J151">
        <f t="shared" si="25"/>
        <v>924</v>
      </c>
      <c r="K151">
        <f t="shared" si="27"/>
        <v>0</v>
      </c>
      <c r="L151">
        <f t="shared" si="28"/>
        <v>148</v>
      </c>
      <c r="M151" s="13" t="str">
        <f t="shared" si="21"/>
        <v/>
      </c>
      <c r="AW151" s="12" t="e">
        <f t="shared" si="24"/>
        <v>#N/A</v>
      </c>
      <c r="AX151" t="e">
        <f t="shared" si="24"/>
        <v>#N/A</v>
      </c>
      <c r="AY151" t="e">
        <f t="shared" si="24"/>
        <v>#N/A</v>
      </c>
      <c r="AZ151" t="e">
        <f t="shared" si="24"/>
        <v>#N/A</v>
      </c>
      <c r="BA151" t="e">
        <f t="shared" si="24"/>
        <v>#N/A</v>
      </c>
      <c r="BB151">
        <f t="shared" si="24"/>
        <v>924</v>
      </c>
      <c r="BC151" s="13" t="e">
        <f t="shared" si="24"/>
        <v>#N/A</v>
      </c>
    </row>
    <row r="152" spans="2:55" x14ac:dyDescent="0.45">
      <c r="B152" s="11">
        <v>6</v>
      </c>
      <c r="C152" s="13">
        <v>142</v>
      </c>
      <c r="D152">
        <v>2</v>
      </c>
      <c r="E152">
        <v>1</v>
      </c>
      <c r="F152">
        <v>1</v>
      </c>
      <c r="G152">
        <v>158</v>
      </c>
      <c r="H152" s="13">
        <v>163</v>
      </c>
      <c r="I152">
        <f t="shared" si="26"/>
        <v>924</v>
      </c>
      <c r="J152">
        <f t="shared" si="25"/>
        <v>919</v>
      </c>
      <c r="K152">
        <f t="shared" si="27"/>
        <v>0</v>
      </c>
      <c r="L152">
        <f t="shared" si="28"/>
        <v>163</v>
      </c>
      <c r="M152" s="13" t="str">
        <f t="shared" si="21"/>
        <v/>
      </c>
      <c r="AW152" s="12" t="e">
        <f t="shared" si="24"/>
        <v>#N/A</v>
      </c>
      <c r="AX152" t="e">
        <f t="shared" si="24"/>
        <v>#N/A</v>
      </c>
      <c r="AY152" t="e">
        <f t="shared" si="24"/>
        <v>#N/A</v>
      </c>
      <c r="AZ152" t="e">
        <f t="shared" si="24"/>
        <v>#N/A</v>
      </c>
      <c r="BA152" t="e">
        <f t="shared" si="24"/>
        <v>#N/A</v>
      </c>
      <c r="BB152">
        <f t="shared" si="24"/>
        <v>919</v>
      </c>
      <c r="BC152" s="13" t="e">
        <f t="shared" si="24"/>
        <v>#N/A</v>
      </c>
    </row>
    <row r="153" spans="2:55" x14ac:dyDescent="0.45">
      <c r="B153" s="11">
        <v>6</v>
      </c>
      <c r="C153" s="13">
        <v>143</v>
      </c>
      <c r="D153">
        <v>3</v>
      </c>
      <c r="E153">
        <v>1</v>
      </c>
      <c r="F153">
        <v>1</v>
      </c>
      <c r="G153">
        <v>153</v>
      </c>
      <c r="H153" s="13">
        <v>150</v>
      </c>
      <c r="I153">
        <f t="shared" si="26"/>
        <v>919</v>
      </c>
      <c r="J153">
        <f t="shared" si="25"/>
        <v>922</v>
      </c>
      <c r="K153">
        <f t="shared" si="27"/>
        <v>0</v>
      </c>
      <c r="L153">
        <f t="shared" si="28"/>
        <v>150</v>
      </c>
      <c r="M153" s="13" t="str">
        <f t="shared" si="21"/>
        <v/>
      </c>
      <c r="AW153" s="12" t="e">
        <f t="shared" si="24"/>
        <v>#N/A</v>
      </c>
      <c r="AX153" t="e">
        <f t="shared" si="24"/>
        <v>#N/A</v>
      </c>
      <c r="AY153" t="e">
        <f t="shared" si="24"/>
        <v>#N/A</v>
      </c>
      <c r="AZ153" t="e">
        <f t="shared" si="24"/>
        <v>#N/A</v>
      </c>
      <c r="BA153" t="e">
        <f t="shared" si="24"/>
        <v>#N/A</v>
      </c>
      <c r="BB153">
        <f t="shared" si="24"/>
        <v>922</v>
      </c>
      <c r="BC153" s="13" t="e">
        <f t="shared" si="24"/>
        <v>#N/A</v>
      </c>
    </row>
    <row r="154" spans="2:55" x14ac:dyDescent="0.45">
      <c r="B154" s="11">
        <v>6</v>
      </c>
      <c r="C154" s="13">
        <v>144</v>
      </c>
      <c r="D154">
        <v>4</v>
      </c>
      <c r="E154">
        <v>1</v>
      </c>
      <c r="F154">
        <v>1</v>
      </c>
      <c r="G154">
        <v>160</v>
      </c>
      <c r="H154" s="13">
        <v>159</v>
      </c>
      <c r="I154">
        <f t="shared" si="26"/>
        <v>922</v>
      </c>
      <c r="J154">
        <f t="shared" si="25"/>
        <v>923</v>
      </c>
      <c r="K154">
        <f t="shared" si="27"/>
        <v>0</v>
      </c>
      <c r="L154">
        <f t="shared" si="28"/>
        <v>159</v>
      </c>
      <c r="M154" s="13" t="str">
        <f t="shared" si="21"/>
        <v/>
      </c>
      <c r="AW154" s="12" t="e">
        <f t="shared" si="24"/>
        <v>#N/A</v>
      </c>
      <c r="AX154" t="e">
        <f t="shared" si="24"/>
        <v>#N/A</v>
      </c>
      <c r="AY154" t="e">
        <f t="shared" si="24"/>
        <v>#N/A</v>
      </c>
      <c r="AZ154" t="e">
        <f t="shared" si="24"/>
        <v>#N/A</v>
      </c>
      <c r="BA154" t="e">
        <f t="shared" si="24"/>
        <v>#N/A</v>
      </c>
      <c r="BB154">
        <f t="shared" si="24"/>
        <v>923</v>
      </c>
      <c r="BC154" s="13" t="e">
        <f t="shared" si="24"/>
        <v>#N/A</v>
      </c>
    </row>
    <row r="155" spans="2:55" x14ac:dyDescent="0.45">
      <c r="B155" s="11">
        <v>6</v>
      </c>
      <c r="C155" s="13">
        <v>145</v>
      </c>
      <c r="D155">
        <v>5</v>
      </c>
      <c r="E155">
        <v>1</v>
      </c>
      <c r="F155">
        <v>1</v>
      </c>
      <c r="G155">
        <v>166</v>
      </c>
      <c r="H155" s="13">
        <v>165</v>
      </c>
      <c r="I155">
        <f t="shared" si="26"/>
        <v>923</v>
      </c>
      <c r="J155">
        <f t="shared" si="25"/>
        <v>924</v>
      </c>
      <c r="K155">
        <f t="shared" si="27"/>
        <v>0</v>
      </c>
      <c r="L155">
        <f t="shared" si="28"/>
        <v>165</v>
      </c>
      <c r="M155" s="13" t="str">
        <f t="shared" si="21"/>
        <v/>
      </c>
      <c r="AW155" s="12" t="e">
        <f t="shared" ref="AW155:BC170" si="29">IF($B155=AW$10,$J155,NA())</f>
        <v>#N/A</v>
      </c>
      <c r="AX155" t="e">
        <f t="shared" si="29"/>
        <v>#N/A</v>
      </c>
      <c r="AY155" t="e">
        <f t="shared" si="29"/>
        <v>#N/A</v>
      </c>
      <c r="AZ155" t="e">
        <f t="shared" si="29"/>
        <v>#N/A</v>
      </c>
      <c r="BA155" t="e">
        <f t="shared" si="29"/>
        <v>#N/A</v>
      </c>
      <c r="BB155">
        <f t="shared" si="29"/>
        <v>924</v>
      </c>
      <c r="BC155" s="13" t="e">
        <f t="shared" si="29"/>
        <v>#N/A</v>
      </c>
    </row>
    <row r="156" spans="2:55" x14ac:dyDescent="0.45">
      <c r="B156" s="11">
        <v>6</v>
      </c>
      <c r="C156" s="13">
        <v>146</v>
      </c>
      <c r="D156">
        <v>6</v>
      </c>
      <c r="E156">
        <v>0</v>
      </c>
      <c r="F156">
        <v>0</v>
      </c>
      <c r="G156">
        <v>0</v>
      </c>
      <c r="H156" s="13">
        <v>0</v>
      </c>
      <c r="I156">
        <f t="shared" si="26"/>
        <v>924</v>
      </c>
      <c r="J156">
        <f t="shared" si="25"/>
        <v>924</v>
      </c>
      <c r="K156">
        <f t="shared" si="27"/>
        <v>0</v>
      </c>
      <c r="L156" t="str">
        <f t="shared" si="28"/>
        <v/>
      </c>
      <c r="M156" s="13" t="str">
        <f t="shared" si="21"/>
        <v/>
      </c>
      <c r="AW156" s="12" t="e">
        <f t="shared" si="29"/>
        <v>#N/A</v>
      </c>
      <c r="AX156" t="e">
        <f t="shared" si="29"/>
        <v>#N/A</v>
      </c>
      <c r="AY156" t="e">
        <f t="shared" si="29"/>
        <v>#N/A</v>
      </c>
      <c r="AZ156" t="e">
        <f t="shared" si="29"/>
        <v>#N/A</v>
      </c>
      <c r="BA156" t="e">
        <f t="shared" si="29"/>
        <v>#N/A</v>
      </c>
      <c r="BB156">
        <f t="shared" si="29"/>
        <v>924</v>
      </c>
      <c r="BC156" s="13" t="e">
        <f t="shared" si="29"/>
        <v>#N/A</v>
      </c>
    </row>
    <row r="157" spans="2:55" x14ac:dyDescent="0.45">
      <c r="B157" s="11">
        <v>6</v>
      </c>
      <c r="C157" s="13">
        <v>147</v>
      </c>
      <c r="D157" s="15">
        <v>7</v>
      </c>
      <c r="E157" s="15">
        <v>0</v>
      </c>
      <c r="F157" s="15">
        <v>0</v>
      </c>
      <c r="G157" s="15">
        <v>0</v>
      </c>
      <c r="H157" s="16">
        <v>0</v>
      </c>
      <c r="I157">
        <f t="shared" si="26"/>
        <v>924</v>
      </c>
      <c r="J157">
        <f t="shared" si="25"/>
        <v>924</v>
      </c>
      <c r="K157">
        <f t="shared" si="27"/>
        <v>0</v>
      </c>
      <c r="L157" t="str">
        <f t="shared" si="28"/>
        <v/>
      </c>
      <c r="M157" s="13" t="str">
        <f t="shared" si="21"/>
        <v/>
      </c>
      <c r="AW157" s="12" t="e">
        <f t="shared" si="29"/>
        <v>#N/A</v>
      </c>
      <c r="AX157" t="e">
        <f t="shared" si="29"/>
        <v>#N/A</v>
      </c>
      <c r="AY157" t="e">
        <f t="shared" si="29"/>
        <v>#N/A</v>
      </c>
      <c r="AZ157" t="e">
        <f t="shared" si="29"/>
        <v>#N/A</v>
      </c>
      <c r="BA157" t="e">
        <f t="shared" si="29"/>
        <v>#N/A</v>
      </c>
      <c r="BB157">
        <f t="shared" si="29"/>
        <v>924</v>
      </c>
      <c r="BC157" s="13" t="e">
        <f t="shared" si="29"/>
        <v>#N/A</v>
      </c>
    </row>
    <row r="158" spans="2:55" x14ac:dyDescent="0.45">
      <c r="B158" s="11">
        <v>6</v>
      </c>
      <c r="C158" s="13">
        <v>148</v>
      </c>
      <c r="D158" s="8">
        <v>1</v>
      </c>
      <c r="E158" s="8">
        <v>1</v>
      </c>
      <c r="F158" s="8">
        <v>1</v>
      </c>
      <c r="G158" s="8">
        <v>155</v>
      </c>
      <c r="H158" s="10">
        <v>150</v>
      </c>
      <c r="I158">
        <f t="shared" si="26"/>
        <v>924</v>
      </c>
      <c r="J158">
        <f t="shared" si="25"/>
        <v>929</v>
      </c>
      <c r="K158">
        <f t="shared" si="27"/>
        <v>0</v>
      </c>
      <c r="L158">
        <f t="shared" si="28"/>
        <v>150</v>
      </c>
      <c r="M158" s="13" t="str">
        <f t="shared" si="21"/>
        <v/>
      </c>
      <c r="AW158" s="12" t="e">
        <f t="shared" si="29"/>
        <v>#N/A</v>
      </c>
      <c r="AX158" t="e">
        <f t="shared" si="29"/>
        <v>#N/A</v>
      </c>
      <c r="AY158" t="e">
        <f t="shared" si="29"/>
        <v>#N/A</v>
      </c>
      <c r="AZ158" t="e">
        <f t="shared" si="29"/>
        <v>#N/A</v>
      </c>
      <c r="BA158" t="e">
        <f t="shared" si="29"/>
        <v>#N/A</v>
      </c>
      <c r="BB158">
        <f t="shared" si="29"/>
        <v>929</v>
      </c>
      <c r="BC158" s="13" t="e">
        <f t="shared" si="29"/>
        <v>#N/A</v>
      </c>
    </row>
    <row r="159" spans="2:55" x14ac:dyDescent="0.45">
      <c r="B159" s="11">
        <v>6</v>
      </c>
      <c r="C159" s="13">
        <v>149</v>
      </c>
      <c r="D159">
        <v>2</v>
      </c>
      <c r="E159">
        <v>1</v>
      </c>
      <c r="F159">
        <v>1</v>
      </c>
      <c r="G159">
        <v>161</v>
      </c>
      <c r="H159" s="13">
        <v>142</v>
      </c>
      <c r="I159">
        <f t="shared" si="26"/>
        <v>929</v>
      </c>
      <c r="J159">
        <f t="shared" si="25"/>
        <v>948</v>
      </c>
      <c r="K159">
        <f t="shared" si="27"/>
        <v>0</v>
      </c>
      <c r="L159">
        <f t="shared" si="28"/>
        <v>142</v>
      </c>
      <c r="M159" s="13" t="str">
        <f t="shared" si="21"/>
        <v/>
      </c>
      <c r="AW159" s="12" t="e">
        <f t="shared" si="29"/>
        <v>#N/A</v>
      </c>
      <c r="AX159" t="e">
        <f t="shared" si="29"/>
        <v>#N/A</v>
      </c>
      <c r="AY159" t="e">
        <f t="shared" si="29"/>
        <v>#N/A</v>
      </c>
      <c r="AZ159" t="e">
        <f t="shared" si="29"/>
        <v>#N/A</v>
      </c>
      <c r="BA159" t="e">
        <f t="shared" si="29"/>
        <v>#N/A</v>
      </c>
      <c r="BB159">
        <f t="shared" si="29"/>
        <v>948</v>
      </c>
      <c r="BC159" s="13" t="e">
        <f t="shared" si="29"/>
        <v>#N/A</v>
      </c>
    </row>
    <row r="160" spans="2:55" x14ac:dyDescent="0.45">
      <c r="B160" s="11">
        <v>6</v>
      </c>
      <c r="C160" s="13">
        <v>150</v>
      </c>
      <c r="D160">
        <v>3</v>
      </c>
      <c r="E160">
        <v>1</v>
      </c>
      <c r="F160">
        <v>1</v>
      </c>
      <c r="G160">
        <v>153</v>
      </c>
      <c r="H160" s="13">
        <v>142</v>
      </c>
      <c r="I160">
        <f t="shared" si="26"/>
        <v>948</v>
      </c>
      <c r="J160">
        <f t="shared" si="25"/>
        <v>959</v>
      </c>
      <c r="K160">
        <f t="shared" si="27"/>
        <v>0</v>
      </c>
      <c r="L160">
        <f t="shared" si="28"/>
        <v>142</v>
      </c>
      <c r="M160" s="13" t="str">
        <f t="shared" si="21"/>
        <v/>
      </c>
      <c r="AW160" s="12" t="e">
        <f t="shared" si="29"/>
        <v>#N/A</v>
      </c>
      <c r="AX160" t="e">
        <f t="shared" si="29"/>
        <v>#N/A</v>
      </c>
      <c r="AY160" t="e">
        <f t="shared" si="29"/>
        <v>#N/A</v>
      </c>
      <c r="AZ160" t="e">
        <f t="shared" si="29"/>
        <v>#N/A</v>
      </c>
      <c r="BA160" t="e">
        <f t="shared" si="29"/>
        <v>#N/A</v>
      </c>
      <c r="BB160">
        <f t="shared" si="29"/>
        <v>959</v>
      </c>
      <c r="BC160" s="13" t="e">
        <f t="shared" si="29"/>
        <v>#N/A</v>
      </c>
    </row>
    <row r="161" spans="2:55" x14ac:dyDescent="0.45">
      <c r="B161" s="11">
        <v>6</v>
      </c>
      <c r="C161" s="13">
        <v>151</v>
      </c>
      <c r="D161">
        <v>4</v>
      </c>
      <c r="E161">
        <v>1</v>
      </c>
      <c r="F161">
        <v>1</v>
      </c>
      <c r="G161">
        <v>148</v>
      </c>
      <c r="H161" s="13">
        <v>160</v>
      </c>
      <c r="I161">
        <f t="shared" si="26"/>
        <v>959</v>
      </c>
      <c r="J161">
        <f t="shared" si="25"/>
        <v>947</v>
      </c>
      <c r="K161">
        <f t="shared" si="27"/>
        <v>0</v>
      </c>
      <c r="L161">
        <f t="shared" si="28"/>
        <v>160</v>
      </c>
      <c r="M161" s="13" t="str">
        <f t="shared" si="21"/>
        <v/>
      </c>
      <c r="AW161" s="12" t="e">
        <f t="shared" si="29"/>
        <v>#N/A</v>
      </c>
      <c r="AX161" t="e">
        <f t="shared" si="29"/>
        <v>#N/A</v>
      </c>
      <c r="AY161" t="e">
        <f t="shared" si="29"/>
        <v>#N/A</v>
      </c>
      <c r="AZ161" t="e">
        <f t="shared" si="29"/>
        <v>#N/A</v>
      </c>
      <c r="BA161" t="e">
        <f t="shared" si="29"/>
        <v>#N/A</v>
      </c>
      <c r="BB161">
        <f t="shared" si="29"/>
        <v>947</v>
      </c>
      <c r="BC161" s="13" t="e">
        <f t="shared" si="29"/>
        <v>#N/A</v>
      </c>
    </row>
    <row r="162" spans="2:55" x14ac:dyDescent="0.45">
      <c r="B162" s="11">
        <v>6</v>
      </c>
      <c r="C162" s="13">
        <v>152</v>
      </c>
      <c r="D162">
        <v>5</v>
      </c>
      <c r="E162">
        <v>1</v>
      </c>
      <c r="F162">
        <v>1</v>
      </c>
      <c r="G162">
        <v>142</v>
      </c>
      <c r="H162" s="13">
        <v>161</v>
      </c>
      <c r="I162">
        <f t="shared" si="26"/>
        <v>947</v>
      </c>
      <c r="J162">
        <f t="shared" si="25"/>
        <v>928</v>
      </c>
      <c r="K162">
        <f t="shared" si="27"/>
        <v>0</v>
      </c>
      <c r="L162">
        <f t="shared" si="28"/>
        <v>161</v>
      </c>
      <c r="M162" s="13" t="str">
        <f t="shared" si="21"/>
        <v/>
      </c>
      <c r="AW162" s="12" t="e">
        <f t="shared" si="29"/>
        <v>#N/A</v>
      </c>
      <c r="AX162" t="e">
        <f t="shared" si="29"/>
        <v>#N/A</v>
      </c>
      <c r="AY162" t="e">
        <f t="shared" si="29"/>
        <v>#N/A</v>
      </c>
      <c r="AZ162" t="e">
        <f t="shared" si="29"/>
        <v>#N/A</v>
      </c>
      <c r="BA162" t="e">
        <f t="shared" si="29"/>
        <v>#N/A</v>
      </c>
      <c r="BB162">
        <f t="shared" si="29"/>
        <v>928</v>
      </c>
      <c r="BC162" s="13" t="e">
        <f t="shared" si="29"/>
        <v>#N/A</v>
      </c>
    </row>
    <row r="163" spans="2:55" x14ac:dyDescent="0.45">
      <c r="B163" s="11">
        <v>6</v>
      </c>
      <c r="C163" s="13">
        <v>153</v>
      </c>
      <c r="D163">
        <v>6</v>
      </c>
      <c r="E163">
        <v>0</v>
      </c>
      <c r="F163">
        <v>0</v>
      </c>
      <c r="G163">
        <v>0</v>
      </c>
      <c r="H163" s="13">
        <v>0</v>
      </c>
      <c r="I163">
        <f t="shared" si="26"/>
        <v>928</v>
      </c>
      <c r="J163">
        <f t="shared" si="25"/>
        <v>928</v>
      </c>
      <c r="K163">
        <f t="shared" si="27"/>
        <v>0</v>
      </c>
      <c r="L163" t="str">
        <f t="shared" si="28"/>
        <v/>
      </c>
      <c r="M163" s="13" t="str">
        <f t="shared" si="21"/>
        <v/>
      </c>
      <c r="AW163" s="12" t="e">
        <f t="shared" si="29"/>
        <v>#N/A</v>
      </c>
      <c r="AX163" t="e">
        <f t="shared" si="29"/>
        <v>#N/A</v>
      </c>
      <c r="AY163" t="e">
        <f t="shared" si="29"/>
        <v>#N/A</v>
      </c>
      <c r="AZ163" t="e">
        <f t="shared" si="29"/>
        <v>#N/A</v>
      </c>
      <c r="BA163" t="e">
        <f t="shared" si="29"/>
        <v>#N/A</v>
      </c>
      <c r="BB163">
        <f t="shared" si="29"/>
        <v>928</v>
      </c>
      <c r="BC163" s="13" t="e">
        <f t="shared" si="29"/>
        <v>#N/A</v>
      </c>
    </row>
    <row r="164" spans="2:55" x14ac:dyDescent="0.45">
      <c r="B164" s="11">
        <v>6</v>
      </c>
      <c r="C164" s="13">
        <v>154</v>
      </c>
      <c r="D164" s="15">
        <v>7</v>
      </c>
      <c r="E164" s="15">
        <v>0</v>
      </c>
      <c r="F164" s="15">
        <v>0</v>
      </c>
      <c r="G164" s="15">
        <v>0</v>
      </c>
      <c r="H164" s="16">
        <v>0</v>
      </c>
      <c r="I164">
        <f t="shared" si="26"/>
        <v>928</v>
      </c>
      <c r="J164">
        <f t="shared" si="25"/>
        <v>928</v>
      </c>
      <c r="K164">
        <f t="shared" si="27"/>
        <v>0</v>
      </c>
      <c r="L164" t="str">
        <f t="shared" si="28"/>
        <v/>
      </c>
      <c r="M164" s="13" t="str">
        <f t="shared" si="21"/>
        <v/>
      </c>
      <c r="AW164" s="12" t="e">
        <f t="shared" si="29"/>
        <v>#N/A</v>
      </c>
      <c r="AX164" t="e">
        <f t="shared" si="29"/>
        <v>#N/A</v>
      </c>
      <c r="AY164" t="e">
        <f t="shared" si="29"/>
        <v>#N/A</v>
      </c>
      <c r="AZ164" t="e">
        <f t="shared" si="29"/>
        <v>#N/A</v>
      </c>
      <c r="BA164" t="e">
        <f t="shared" si="29"/>
        <v>#N/A</v>
      </c>
      <c r="BB164">
        <f t="shared" si="29"/>
        <v>928</v>
      </c>
      <c r="BC164" s="13" t="e">
        <f t="shared" si="29"/>
        <v>#N/A</v>
      </c>
    </row>
    <row r="165" spans="2:55" x14ac:dyDescent="0.45">
      <c r="B165" s="11">
        <v>6</v>
      </c>
      <c r="C165" s="13">
        <v>155</v>
      </c>
      <c r="D165" s="8">
        <v>1</v>
      </c>
      <c r="E165" s="8">
        <v>1</v>
      </c>
      <c r="F165" s="8">
        <v>1</v>
      </c>
      <c r="G165" s="8">
        <v>155</v>
      </c>
      <c r="H165" s="10">
        <v>143</v>
      </c>
      <c r="I165">
        <f t="shared" si="26"/>
        <v>928</v>
      </c>
      <c r="J165">
        <f t="shared" si="25"/>
        <v>940</v>
      </c>
      <c r="K165">
        <f t="shared" si="27"/>
        <v>0</v>
      </c>
      <c r="L165">
        <f t="shared" si="28"/>
        <v>143</v>
      </c>
      <c r="M165" s="13" t="str">
        <f t="shared" si="21"/>
        <v/>
      </c>
      <c r="AW165" s="12" t="e">
        <f t="shared" si="29"/>
        <v>#N/A</v>
      </c>
      <c r="AX165" t="e">
        <f t="shared" si="29"/>
        <v>#N/A</v>
      </c>
      <c r="AY165" t="e">
        <f t="shared" si="29"/>
        <v>#N/A</v>
      </c>
      <c r="AZ165" t="e">
        <f t="shared" si="29"/>
        <v>#N/A</v>
      </c>
      <c r="BA165" t="e">
        <f t="shared" si="29"/>
        <v>#N/A</v>
      </c>
      <c r="BB165">
        <f t="shared" si="29"/>
        <v>940</v>
      </c>
      <c r="BC165" s="13" t="e">
        <f t="shared" si="29"/>
        <v>#N/A</v>
      </c>
    </row>
    <row r="166" spans="2:55" x14ac:dyDescent="0.45">
      <c r="B166" s="11">
        <v>6</v>
      </c>
      <c r="C166" s="13">
        <v>156</v>
      </c>
      <c r="D166">
        <v>2</v>
      </c>
      <c r="E166">
        <v>1</v>
      </c>
      <c r="F166">
        <v>1</v>
      </c>
      <c r="G166">
        <v>157</v>
      </c>
      <c r="H166" s="13">
        <v>152</v>
      </c>
      <c r="I166">
        <f t="shared" si="26"/>
        <v>940</v>
      </c>
      <c r="J166">
        <f t="shared" si="25"/>
        <v>945</v>
      </c>
      <c r="K166">
        <f t="shared" si="27"/>
        <v>0</v>
      </c>
      <c r="L166">
        <f t="shared" si="28"/>
        <v>152</v>
      </c>
      <c r="M166" s="13" t="str">
        <f t="shared" si="21"/>
        <v/>
      </c>
      <c r="AW166" s="12" t="e">
        <f t="shared" si="29"/>
        <v>#N/A</v>
      </c>
      <c r="AX166" t="e">
        <f t="shared" si="29"/>
        <v>#N/A</v>
      </c>
      <c r="AY166" t="e">
        <f t="shared" si="29"/>
        <v>#N/A</v>
      </c>
      <c r="AZ166" t="e">
        <f t="shared" si="29"/>
        <v>#N/A</v>
      </c>
      <c r="BA166" t="e">
        <f t="shared" si="29"/>
        <v>#N/A</v>
      </c>
      <c r="BB166">
        <f t="shared" si="29"/>
        <v>945</v>
      </c>
      <c r="BC166" s="13" t="e">
        <f t="shared" si="29"/>
        <v>#N/A</v>
      </c>
    </row>
    <row r="167" spans="2:55" x14ac:dyDescent="0.45">
      <c r="B167" s="11">
        <v>6</v>
      </c>
      <c r="C167" s="13">
        <v>157</v>
      </c>
      <c r="D167">
        <v>3</v>
      </c>
      <c r="E167">
        <v>1</v>
      </c>
      <c r="F167">
        <v>1</v>
      </c>
      <c r="G167">
        <v>178</v>
      </c>
      <c r="H167" s="13">
        <v>154</v>
      </c>
      <c r="I167">
        <f t="shared" si="26"/>
        <v>945</v>
      </c>
      <c r="J167">
        <f t="shared" si="25"/>
        <v>969</v>
      </c>
      <c r="K167">
        <f t="shared" si="27"/>
        <v>0</v>
      </c>
      <c r="L167">
        <f t="shared" si="28"/>
        <v>154</v>
      </c>
      <c r="M167" s="13" t="str">
        <f t="shared" ref="M167:M206" si="30">IF(B168&lt;&gt;B167,J167-I140,"")</f>
        <v/>
      </c>
      <c r="AW167" s="12" t="e">
        <f t="shared" si="29"/>
        <v>#N/A</v>
      </c>
      <c r="AX167" t="e">
        <f t="shared" si="29"/>
        <v>#N/A</v>
      </c>
      <c r="AY167" t="e">
        <f t="shared" si="29"/>
        <v>#N/A</v>
      </c>
      <c r="AZ167" t="e">
        <f t="shared" si="29"/>
        <v>#N/A</v>
      </c>
      <c r="BA167" t="e">
        <f t="shared" si="29"/>
        <v>#N/A</v>
      </c>
      <c r="BB167">
        <f t="shared" si="29"/>
        <v>969</v>
      </c>
      <c r="BC167" s="13" t="e">
        <f t="shared" si="29"/>
        <v>#N/A</v>
      </c>
    </row>
    <row r="168" spans="2:55" x14ac:dyDescent="0.45">
      <c r="B168" s="11">
        <v>6</v>
      </c>
      <c r="C168" s="13">
        <v>158</v>
      </c>
      <c r="D168">
        <v>4</v>
      </c>
      <c r="E168">
        <v>1</v>
      </c>
      <c r="F168">
        <v>1</v>
      </c>
      <c r="G168">
        <v>167</v>
      </c>
      <c r="H168" s="13">
        <v>153</v>
      </c>
      <c r="I168">
        <f t="shared" si="26"/>
        <v>969</v>
      </c>
      <c r="J168">
        <f t="shared" si="25"/>
        <v>983</v>
      </c>
      <c r="K168">
        <f t="shared" si="27"/>
        <v>0</v>
      </c>
      <c r="L168">
        <f t="shared" si="28"/>
        <v>153</v>
      </c>
      <c r="M168" s="13" t="str">
        <f t="shared" si="30"/>
        <v/>
      </c>
      <c r="AW168" s="12" t="e">
        <f t="shared" si="29"/>
        <v>#N/A</v>
      </c>
      <c r="AX168" t="e">
        <f t="shared" si="29"/>
        <v>#N/A</v>
      </c>
      <c r="AY168" t="e">
        <f t="shared" si="29"/>
        <v>#N/A</v>
      </c>
      <c r="AZ168" t="e">
        <f t="shared" si="29"/>
        <v>#N/A</v>
      </c>
      <c r="BA168" t="e">
        <f t="shared" si="29"/>
        <v>#N/A</v>
      </c>
      <c r="BB168">
        <f t="shared" si="29"/>
        <v>983</v>
      </c>
      <c r="BC168" s="13" t="e">
        <f t="shared" si="29"/>
        <v>#N/A</v>
      </c>
    </row>
    <row r="169" spans="2:55" x14ac:dyDescent="0.45">
      <c r="B169" s="11">
        <v>6</v>
      </c>
      <c r="C169" s="13">
        <v>159</v>
      </c>
      <c r="D169">
        <v>5</v>
      </c>
      <c r="E169">
        <v>1</v>
      </c>
      <c r="F169">
        <v>1</v>
      </c>
      <c r="G169">
        <v>168</v>
      </c>
      <c r="H169" s="13">
        <v>163</v>
      </c>
      <c r="I169">
        <f t="shared" si="26"/>
        <v>983</v>
      </c>
      <c r="J169">
        <f t="shared" si="25"/>
        <v>988</v>
      </c>
      <c r="K169">
        <f t="shared" si="27"/>
        <v>0</v>
      </c>
      <c r="L169">
        <f t="shared" si="28"/>
        <v>163</v>
      </c>
      <c r="M169" s="13" t="str">
        <f t="shared" si="30"/>
        <v/>
      </c>
      <c r="AW169" s="12" t="e">
        <f t="shared" si="29"/>
        <v>#N/A</v>
      </c>
      <c r="AX169" t="e">
        <f t="shared" si="29"/>
        <v>#N/A</v>
      </c>
      <c r="AY169" t="e">
        <f t="shared" si="29"/>
        <v>#N/A</v>
      </c>
      <c r="AZ169" t="e">
        <f t="shared" si="29"/>
        <v>#N/A</v>
      </c>
      <c r="BA169" t="e">
        <f t="shared" si="29"/>
        <v>#N/A</v>
      </c>
      <c r="BB169">
        <f t="shared" si="29"/>
        <v>988</v>
      </c>
      <c r="BC169" s="13" t="e">
        <f t="shared" si="29"/>
        <v>#N/A</v>
      </c>
    </row>
    <row r="170" spans="2:55" x14ac:dyDescent="0.45">
      <c r="B170" s="11">
        <v>6</v>
      </c>
      <c r="C170" s="13">
        <v>160</v>
      </c>
      <c r="D170">
        <v>6</v>
      </c>
      <c r="E170">
        <v>0</v>
      </c>
      <c r="F170">
        <v>0</v>
      </c>
      <c r="G170">
        <v>0</v>
      </c>
      <c r="H170" s="13">
        <v>0</v>
      </c>
      <c r="I170">
        <f t="shared" si="26"/>
        <v>988</v>
      </c>
      <c r="J170">
        <f t="shared" si="25"/>
        <v>988</v>
      </c>
      <c r="K170">
        <f t="shared" si="27"/>
        <v>0</v>
      </c>
      <c r="L170" t="str">
        <f t="shared" si="28"/>
        <v/>
      </c>
      <c r="M170" s="13" t="str">
        <f t="shared" si="30"/>
        <v/>
      </c>
      <c r="AW170" s="12" t="e">
        <f t="shared" si="29"/>
        <v>#N/A</v>
      </c>
      <c r="AX170" t="e">
        <f t="shared" si="29"/>
        <v>#N/A</v>
      </c>
      <c r="AY170" t="e">
        <f t="shared" si="29"/>
        <v>#N/A</v>
      </c>
      <c r="AZ170" t="e">
        <f t="shared" si="29"/>
        <v>#N/A</v>
      </c>
      <c r="BA170" t="e">
        <f t="shared" si="29"/>
        <v>#N/A</v>
      </c>
      <c r="BB170">
        <f t="shared" si="29"/>
        <v>988</v>
      </c>
      <c r="BC170" s="13" t="e">
        <f t="shared" si="29"/>
        <v>#N/A</v>
      </c>
    </row>
    <row r="171" spans="2:55" x14ac:dyDescent="0.45">
      <c r="B171" s="11">
        <v>6</v>
      </c>
      <c r="C171" s="13">
        <v>161</v>
      </c>
      <c r="D171" s="15">
        <v>7</v>
      </c>
      <c r="E171" s="15">
        <v>0</v>
      </c>
      <c r="F171" s="15">
        <v>0</v>
      </c>
      <c r="G171" s="15">
        <v>0</v>
      </c>
      <c r="H171" s="16">
        <v>0</v>
      </c>
      <c r="I171">
        <f t="shared" si="26"/>
        <v>988</v>
      </c>
      <c r="J171">
        <f t="shared" si="25"/>
        <v>988</v>
      </c>
      <c r="K171">
        <f t="shared" si="27"/>
        <v>0</v>
      </c>
      <c r="L171" t="str">
        <f t="shared" si="28"/>
        <v/>
      </c>
      <c r="M171" s="13" t="str">
        <f t="shared" si="30"/>
        <v/>
      </c>
      <c r="AW171" s="12" t="e">
        <f t="shared" ref="AW171:BC186" si="31">IF($B171=AW$10,$J171,NA())</f>
        <v>#N/A</v>
      </c>
      <c r="AX171" t="e">
        <f t="shared" si="31"/>
        <v>#N/A</v>
      </c>
      <c r="AY171" t="e">
        <f t="shared" si="31"/>
        <v>#N/A</v>
      </c>
      <c r="AZ171" t="e">
        <f t="shared" si="31"/>
        <v>#N/A</v>
      </c>
      <c r="BA171" t="e">
        <f t="shared" si="31"/>
        <v>#N/A</v>
      </c>
      <c r="BB171">
        <f t="shared" si="31"/>
        <v>988</v>
      </c>
      <c r="BC171" s="13" t="e">
        <f t="shared" si="31"/>
        <v>#N/A</v>
      </c>
    </row>
    <row r="172" spans="2:55" x14ac:dyDescent="0.45">
      <c r="B172" s="11">
        <v>6</v>
      </c>
      <c r="C172" s="13">
        <v>162</v>
      </c>
      <c r="D172" s="8">
        <v>1</v>
      </c>
      <c r="E172" s="8">
        <v>1</v>
      </c>
      <c r="F172" s="8">
        <v>1</v>
      </c>
      <c r="G172" s="8">
        <v>170</v>
      </c>
      <c r="H172" s="10">
        <v>160</v>
      </c>
      <c r="I172">
        <f t="shared" si="26"/>
        <v>988</v>
      </c>
      <c r="J172">
        <f t="shared" si="25"/>
        <v>998</v>
      </c>
      <c r="K172">
        <f t="shared" si="27"/>
        <v>0</v>
      </c>
      <c r="L172">
        <f t="shared" si="28"/>
        <v>160</v>
      </c>
      <c r="M172" s="13" t="str">
        <f t="shared" si="30"/>
        <v/>
      </c>
      <c r="AW172" s="12" t="e">
        <f t="shared" si="31"/>
        <v>#N/A</v>
      </c>
      <c r="AX172" t="e">
        <f t="shared" si="31"/>
        <v>#N/A</v>
      </c>
      <c r="AY172" t="e">
        <f t="shared" si="31"/>
        <v>#N/A</v>
      </c>
      <c r="AZ172" t="e">
        <f t="shared" si="31"/>
        <v>#N/A</v>
      </c>
      <c r="BA172" t="e">
        <f t="shared" si="31"/>
        <v>#N/A</v>
      </c>
      <c r="BB172">
        <f t="shared" si="31"/>
        <v>998</v>
      </c>
      <c r="BC172" s="13" t="e">
        <f t="shared" si="31"/>
        <v>#N/A</v>
      </c>
    </row>
    <row r="173" spans="2:55" x14ac:dyDescent="0.45">
      <c r="B173" s="11">
        <v>6</v>
      </c>
      <c r="C173" s="13">
        <v>163</v>
      </c>
      <c r="D173">
        <v>2</v>
      </c>
      <c r="E173">
        <v>1</v>
      </c>
      <c r="F173">
        <v>1</v>
      </c>
      <c r="G173">
        <v>159</v>
      </c>
      <c r="H173" s="13">
        <v>146</v>
      </c>
      <c r="I173">
        <f t="shared" si="26"/>
        <v>998</v>
      </c>
      <c r="J173">
        <f t="shared" si="25"/>
        <v>1011</v>
      </c>
      <c r="K173">
        <f t="shared" si="27"/>
        <v>0</v>
      </c>
      <c r="L173">
        <f t="shared" si="28"/>
        <v>146</v>
      </c>
      <c r="M173" s="13" t="str">
        <f t="shared" si="30"/>
        <v/>
      </c>
      <c r="AW173" s="12" t="e">
        <f t="shared" si="31"/>
        <v>#N/A</v>
      </c>
      <c r="AX173" t="e">
        <f t="shared" si="31"/>
        <v>#N/A</v>
      </c>
      <c r="AY173" t="e">
        <f t="shared" si="31"/>
        <v>#N/A</v>
      </c>
      <c r="AZ173" t="e">
        <f t="shared" si="31"/>
        <v>#N/A</v>
      </c>
      <c r="BA173" t="e">
        <f t="shared" si="31"/>
        <v>#N/A</v>
      </c>
      <c r="BB173">
        <f t="shared" si="31"/>
        <v>1011</v>
      </c>
      <c r="BC173" s="13" t="e">
        <f t="shared" si="31"/>
        <v>#N/A</v>
      </c>
    </row>
    <row r="174" spans="2:55" x14ac:dyDescent="0.45">
      <c r="B174" s="11">
        <v>6</v>
      </c>
      <c r="C174" s="13">
        <v>164</v>
      </c>
      <c r="D174">
        <v>3</v>
      </c>
      <c r="E174">
        <v>1</v>
      </c>
      <c r="F174">
        <v>1</v>
      </c>
      <c r="G174">
        <v>163</v>
      </c>
      <c r="H174" s="13">
        <v>85</v>
      </c>
      <c r="I174">
        <f t="shared" si="26"/>
        <v>1011</v>
      </c>
      <c r="J174">
        <f t="shared" si="25"/>
        <v>1089</v>
      </c>
      <c r="K174">
        <f t="shared" si="27"/>
        <v>0</v>
      </c>
      <c r="L174">
        <f t="shared" si="28"/>
        <v>85</v>
      </c>
      <c r="M174" s="13" t="str">
        <f t="shared" si="30"/>
        <v/>
      </c>
      <c r="AW174" s="12" t="e">
        <f t="shared" si="31"/>
        <v>#N/A</v>
      </c>
      <c r="AX174" t="e">
        <f t="shared" si="31"/>
        <v>#N/A</v>
      </c>
      <c r="AY174" t="e">
        <f t="shared" si="31"/>
        <v>#N/A</v>
      </c>
      <c r="AZ174" t="e">
        <f t="shared" si="31"/>
        <v>#N/A</v>
      </c>
      <c r="BA174" t="e">
        <f t="shared" si="31"/>
        <v>#N/A</v>
      </c>
      <c r="BB174">
        <f t="shared" si="31"/>
        <v>1089</v>
      </c>
      <c r="BC174" s="13" t="e">
        <f t="shared" si="31"/>
        <v>#N/A</v>
      </c>
    </row>
    <row r="175" spans="2:55" x14ac:dyDescent="0.45">
      <c r="B175" s="11">
        <v>6</v>
      </c>
      <c r="C175" s="13">
        <v>165</v>
      </c>
      <c r="D175">
        <v>4</v>
      </c>
      <c r="E175">
        <v>1</v>
      </c>
      <c r="F175">
        <v>1</v>
      </c>
      <c r="G175">
        <v>174</v>
      </c>
      <c r="H175" s="13">
        <v>164</v>
      </c>
      <c r="I175">
        <f t="shared" si="26"/>
        <v>1089</v>
      </c>
      <c r="J175">
        <f t="shared" si="25"/>
        <v>1099</v>
      </c>
      <c r="K175">
        <f t="shared" si="27"/>
        <v>0</v>
      </c>
      <c r="L175">
        <f t="shared" si="28"/>
        <v>164</v>
      </c>
      <c r="M175" s="13" t="str">
        <f t="shared" si="30"/>
        <v/>
      </c>
      <c r="AW175" s="12" t="e">
        <f t="shared" si="31"/>
        <v>#N/A</v>
      </c>
      <c r="AX175" t="e">
        <f t="shared" si="31"/>
        <v>#N/A</v>
      </c>
      <c r="AY175" t="e">
        <f t="shared" si="31"/>
        <v>#N/A</v>
      </c>
      <c r="AZ175" t="e">
        <f t="shared" si="31"/>
        <v>#N/A</v>
      </c>
      <c r="BA175" t="e">
        <f t="shared" si="31"/>
        <v>#N/A</v>
      </c>
      <c r="BB175">
        <f t="shared" si="31"/>
        <v>1099</v>
      </c>
      <c r="BC175" s="13" t="e">
        <f t="shared" si="31"/>
        <v>#N/A</v>
      </c>
    </row>
    <row r="176" spans="2:55" x14ac:dyDescent="0.45">
      <c r="B176" s="11">
        <v>6</v>
      </c>
      <c r="C176" s="13">
        <v>166</v>
      </c>
      <c r="D176">
        <v>5</v>
      </c>
      <c r="E176">
        <v>1</v>
      </c>
      <c r="F176">
        <v>1</v>
      </c>
      <c r="G176">
        <v>166</v>
      </c>
      <c r="H176" s="13">
        <v>147</v>
      </c>
      <c r="I176">
        <f t="shared" si="26"/>
        <v>1099</v>
      </c>
      <c r="J176">
        <f t="shared" si="25"/>
        <v>1118</v>
      </c>
      <c r="K176">
        <f t="shared" si="27"/>
        <v>0</v>
      </c>
      <c r="L176">
        <f t="shared" si="28"/>
        <v>147</v>
      </c>
      <c r="M176" s="13" t="str">
        <f t="shared" si="30"/>
        <v/>
      </c>
      <c r="AW176" s="12" t="e">
        <f t="shared" si="31"/>
        <v>#N/A</v>
      </c>
      <c r="AX176" t="e">
        <f t="shared" si="31"/>
        <v>#N/A</v>
      </c>
      <c r="AY176" t="e">
        <f t="shared" si="31"/>
        <v>#N/A</v>
      </c>
      <c r="AZ176" t="e">
        <f t="shared" si="31"/>
        <v>#N/A</v>
      </c>
      <c r="BA176" t="e">
        <f t="shared" si="31"/>
        <v>#N/A</v>
      </c>
      <c r="BB176">
        <f t="shared" si="31"/>
        <v>1118</v>
      </c>
      <c r="BC176" s="13" t="e">
        <f t="shared" si="31"/>
        <v>#N/A</v>
      </c>
    </row>
    <row r="177" spans="2:55" x14ac:dyDescent="0.45">
      <c r="B177" s="11">
        <v>6</v>
      </c>
      <c r="C177" s="13">
        <v>167</v>
      </c>
      <c r="D177">
        <v>6</v>
      </c>
      <c r="E177">
        <v>0</v>
      </c>
      <c r="F177">
        <v>0</v>
      </c>
      <c r="G177">
        <v>0</v>
      </c>
      <c r="H177" s="13">
        <v>0</v>
      </c>
      <c r="I177">
        <f t="shared" si="26"/>
        <v>1118</v>
      </c>
      <c r="J177">
        <f t="shared" si="25"/>
        <v>1118</v>
      </c>
      <c r="K177">
        <f t="shared" si="27"/>
        <v>0</v>
      </c>
      <c r="L177" t="str">
        <f t="shared" si="28"/>
        <v/>
      </c>
      <c r="M177" s="13" t="str">
        <f t="shared" si="30"/>
        <v/>
      </c>
      <c r="AW177" s="12" t="e">
        <f t="shared" si="31"/>
        <v>#N/A</v>
      </c>
      <c r="AX177" t="e">
        <f t="shared" si="31"/>
        <v>#N/A</v>
      </c>
      <c r="AY177" t="e">
        <f t="shared" si="31"/>
        <v>#N/A</v>
      </c>
      <c r="AZ177" t="e">
        <f t="shared" si="31"/>
        <v>#N/A</v>
      </c>
      <c r="BA177" t="e">
        <f t="shared" si="31"/>
        <v>#N/A</v>
      </c>
      <c r="BB177">
        <f t="shared" si="31"/>
        <v>1118</v>
      </c>
      <c r="BC177" s="13" t="e">
        <f t="shared" si="31"/>
        <v>#N/A</v>
      </c>
    </row>
    <row r="178" spans="2:55" x14ac:dyDescent="0.45">
      <c r="B178" s="17">
        <v>6</v>
      </c>
      <c r="C178" s="13">
        <v>168</v>
      </c>
      <c r="D178" s="15">
        <v>7</v>
      </c>
      <c r="E178" s="15">
        <v>0</v>
      </c>
      <c r="F178" s="15">
        <v>0</v>
      </c>
      <c r="G178" s="15">
        <v>0</v>
      </c>
      <c r="H178" s="16">
        <v>0</v>
      </c>
      <c r="I178">
        <f t="shared" si="26"/>
        <v>1118</v>
      </c>
      <c r="J178">
        <f t="shared" si="25"/>
        <v>1118</v>
      </c>
      <c r="K178">
        <f t="shared" si="27"/>
        <v>0</v>
      </c>
      <c r="L178" t="str">
        <f t="shared" si="28"/>
        <v/>
      </c>
      <c r="M178" s="13">
        <f t="shared" si="30"/>
        <v>192</v>
      </c>
      <c r="AW178" s="12" t="e">
        <f t="shared" si="31"/>
        <v>#N/A</v>
      </c>
      <c r="AX178" t="e">
        <f t="shared" si="31"/>
        <v>#N/A</v>
      </c>
      <c r="AY178" t="e">
        <f t="shared" si="31"/>
        <v>#N/A</v>
      </c>
      <c r="AZ178" t="e">
        <f t="shared" si="31"/>
        <v>#N/A</v>
      </c>
      <c r="BA178" t="e">
        <f t="shared" si="31"/>
        <v>#N/A</v>
      </c>
      <c r="BB178">
        <f t="shared" si="31"/>
        <v>1118</v>
      </c>
      <c r="BC178" s="13" t="e">
        <f t="shared" si="31"/>
        <v>#N/A</v>
      </c>
    </row>
    <row r="179" spans="2:55" x14ac:dyDescent="0.45">
      <c r="B179" s="7">
        <v>7</v>
      </c>
      <c r="C179" s="13">
        <v>169</v>
      </c>
      <c r="D179" s="8">
        <v>1</v>
      </c>
      <c r="E179" s="8">
        <v>1</v>
      </c>
      <c r="F179" s="8">
        <v>1</v>
      </c>
      <c r="G179" s="8">
        <v>160</v>
      </c>
      <c r="H179" s="10">
        <v>146</v>
      </c>
      <c r="I179">
        <f t="shared" si="26"/>
        <v>1118</v>
      </c>
      <c r="J179">
        <f t="shared" si="25"/>
        <v>1132</v>
      </c>
      <c r="K179">
        <f t="shared" si="27"/>
        <v>0</v>
      </c>
      <c r="L179">
        <f t="shared" si="28"/>
        <v>146</v>
      </c>
      <c r="M179" s="13" t="str">
        <f t="shared" si="30"/>
        <v/>
      </c>
      <c r="AW179" s="12" t="e">
        <f t="shared" si="31"/>
        <v>#N/A</v>
      </c>
      <c r="AX179" t="e">
        <f t="shared" si="31"/>
        <v>#N/A</v>
      </c>
      <c r="AY179" t="e">
        <f t="shared" si="31"/>
        <v>#N/A</v>
      </c>
      <c r="AZ179" t="e">
        <f t="shared" si="31"/>
        <v>#N/A</v>
      </c>
      <c r="BA179" t="e">
        <f t="shared" si="31"/>
        <v>#N/A</v>
      </c>
      <c r="BB179" t="e">
        <f t="shared" si="31"/>
        <v>#N/A</v>
      </c>
      <c r="BC179" s="13">
        <f t="shared" si="31"/>
        <v>1132</v>
      </c>
    </row>
    <row r="180" spans="2:55" x14ac:dyDescent="0.45">
      <c r="B180" s="11">
        <v>7</v>
      </c>
      <c r="C180" s="13">
        <v>170</v>
      </c>
      <c r="D180">
        <v>2</v>
      </c>
      <c r="E180">
        <v>1</v>
      </c>
      <c r="F180">
        <v>1</v>
      </c>
      <c r="G180">
        <v>159</v>
      </c>
      <c r="H180" s="13">
        <v>142</v>
      </c>
      <c r="I180">
        <f t="shared" si="26"/>
        <v>1132</v>
      </c>
      <c r="J180">
        <f t="shared" si="25"/>
        <v>1149</v>
      </c>
      <c r="K180">
        <f t="shared" si="27"/>
        <v>0</v>
      </c>
      <c r="L180">
        <f t="shared" si="28"/>
        <v>142</v>
      </c>
      <c r="M180" s="13" t="str">
        <f t="shared" si="30"/>
        <v/>
      </c>
      <c r="AW180" s="12" t="e">
        <f t="shared" si="31"/>
        <v>#N/A</v>
      </c>
      <c r="AX180" t="e">
        <f t="shared" si="31"/>
        <v>#N/A</v>
      </c>
      <c r="AY180" t="e">
        <f t="shared" si="31"/>
        <v>#N/A</v>
      </c>
      <c r="AZ180" t="e">
        <f t="shared" si="31"/>
        <v>#N/A</v>
      </c>
      <c r="BA180" t="e">
        <f t="shared" si="31"/>
        <v>#N/A</v>
      </c>
      <c r="BB180" t="e">
        <f t="shared" si="31"/>
        <v>#N/A</v>
      </c>
      <c r="BC180" s="13">
        <f t="shared" si="31"/>
        <v>1149</v>
      </c>
    </row>
    <row r="181" spans="2:55" x14ac:dyDescent="0.45">
      <c r="B181" s="11">
        <v>7</v>
      </c>
      <c r="C181" s="13">
        <v>171</v>
      </c>
      <c r="D181">
        <v>3</v>
      </c>
      <c r="E181">
        <v>1</v>
      </c>
      <c r="F181">
        <v>1</v>
      </c>
      <c r="G181">
        <v>152</v>
      </c>
      <c r="H181" s="13">
        <v>153</v>
      </c>
      <c r="I181">
        <f t="shared" si="26"/>
        <v>1149</v>
      </c>
      <c r="J181">
        <f t="shared" si="25"/>
        <v>1148</v>
      </c>
      <c r="K181">
        <f t="shared" si="27"/>
        <v>0</v>
      </c>
      <c r="L181">
        <f t="shared" si="28"/>
        <v>153</v>
      </c>
      <c r="M181" s="13" t="str">
        <f t="shared" si="30"/>
        <v/>
      </c>
      <c r="AW181" s="12" t="e">
        <f t="shared" si="31"/>
        <v>#N/A</v>
      </c>
      <c r="AX181" t="e">
        <f t="shared" si="31"/>
        <v>#N/A</v>
      </c>
      <c r="AY181" t="e">
        <f t="shared" si="31"/>
        <v>#N/A</v>
      </c>
      <c r="AZ181" t="e">
        <f t="shared" si="31"/>
        <v>#N/A</v>
      </c>
      <c r="BA181" t="e">
        <f t="shared" si="31"/>
        <v>#N/A</v>
      </c>
      <c r="BB181" t="e">
        <f t="shared" si="31"/>
        <v>#N/A</v>
      </c>
      <c r="BC181" s="13">
        <f t="shared" si="31"/>
        <v>1148</v>
      </c>
    </row>
    <row r="182" spans="2:55" x14ac:dyDescent="0.45">
      <c r="B182" s="11">
        <v>7</v>
      </c>
      <c r="C182" s="13">
        <v>172</v>
      </c>
      <c r="D182">
        <v>4</v>
      </c>
      <c r="E182">
        <v>1</v>
      </c>
      <c r="F182">
        <v>1</v>
      </c>
      <c r="G182">
        <v>157</v>
      </c>
      <c r="H182" s="13">
        <v>143</v>
      </c>
      <c r="I182">
        <f t="shared" si="26"/>
        <v>1148</v>
      </c>
      <c r="J182">
        <f t="shared" si="25"/>
        <v>1162</v>
      </c>
      <c r="K182">
        <f t="shared" si="27"/>
        <v>0</v>
      </c>
      <c r="L182">
        <f t="shared" si="28"/>
        <v>143</v>
      </c>
      <c r="M182" s="13" t="str">
        <f t="shared" si="30"/>
        <v/>
      </c>
      <c r="AW182" s="12" t="e">
        <f t="shared" si="31"/>
        <v>#N/A</v>
      </c>
      <c r="AX182" t="e">
        <f t="shared" si="31"/>
        <v>#N/A</v>
      </c>
      <c r="AY182" t="e">
        <f t="shared" si="31"/>
        <v>#N/A</v>
      </c>
      <c r="AZ182" t="e">
        <f t="shared" si="31"/>
        <v>#N/A</v>
      </c>
      <c r="BA182" t="e">
        <f t="shared" si="31"/>
        <v>#N/A</v>
      </c>
      <c r="BB182" t="e">
        <f t="shared" si="31"/>
        <v>#N/A</v>
      </c>
      <c r="BC182" s="13">
        <f t="shared" si="31"/>
        <v>1162</v>
      </c>
    </row>
    <row r="183" spans="2:55" x14ac:dyDescent="0.45">
      <c r="B183" s="11">
        <v>7</v>
      </c>
      <c r="C183" s="13">
        <v>173</v>
      </c>
      <c r="D183">
        <v>5</v>
      </c>
      <c r="E183">
        <v>1</v>
      </c>
      <c r="F183">
        <v>1</v>
      </c>
      <c r="G183">
        <v>159</v>
      </c>
      <c r="H183" s="13">
        <v>148</v>
      </c>
      <c r="I183">
        <f t="shared" si="26"/>
        <v>1162</v>
      </c>
      <c r="J183">
        <f t="shared" si="25"/>
        <v>1173</v>
      </c>
      <c r="K183">
        <f t="shared" si="27"/>
        <v>0</v>
      </c>
      <c r="L183">
        <f t="shared" si="28"/>
        <v>148</v>
      </c>
      <c r="M183" s="13" t="str">
        <f t="shared" si="30"/>
        <v/>
      </c>
      <c r="AW183" s="12" t="e">
        <f t="shared" si="31"/>
        <v>#N/A</v>
      </c>
      <c r="AX183" t="e">
        <f t="shared" si="31"/>
        <v>#N/A</v>
      </c>
      <c r="AY183" t="e">
        <f t="shared" si="31"/>
        <v>#N/A</v>
      </c>
      <c r="AZ183" t="e">
        <f t="shared" si="31"/>
        <v>#N/A</v>
      </c>
      <c r="BA183" t="e">
        <f t="shared" si="31"/>
        <v>#N/A</v>
      </c>
      <c r="BB183" t="e">
        <f t="shared" si="31"/>
        <v>#N/A</v>
      </c>
      <c r="BC183" s="13">
        <f t="shared" si="31"/>
        <v>1173</v>
      </c>
    </row>
    <row r="184" spans="2:55" x14ac:dyDescent="0.45">
      <c r="B184" s="11">
        <v>7</v>
      </c>
      <c r="C184" s="13">
        <v>174</v>
      </c>
      <c r="D184">
        <v>6</v>
      </c>
      <c r="E184">
        <v>0</v>
      </c>
      <c r="F184">
        <v>1</v>
      </c>
      <c r="G184">
        <v>0</v>
      </c>
      <c r="H184" s="13">
        <v>152</v>
      </c>
      <c r="I184">
        <f t="shared" si="26"/>
        <v>1173</v>
      </c>
      <c r="J184">
        <f t="shared" si="25"/>
        <v>1021</v>
      </c>
      <c r="K184">
        <f t="shared" si="27"/>
        <v>0</v>
      </c>
      <c r="L184">
        <f t="shared" si="28"/>
        <v>152</v>
      </c>
      <c r="M184" s="13" t="str">
        <f t="shared" si="30"/>
        <v/>
      </c>
      <c r="AW184" s="12" t="e">
        <f t="shared" si="31"/>
        <v>#N/A</v>
      </c>
      <c r="AX184" t="e">
        <f t="shared" si="31"/>
        <v>#N/A</v>
      </c>
      <c r="AY184" t="e">
        <f t="shared" si="31"/>
        <v>#N/A</v>
      </c>
      <c r="AZ184" t="e">
        <f t="shared" si="31"/>
        <v>#N/A</v>
      </c>
      <c r="BA184" t="e">
        <f t="shared" si="31"/>
        <v>#N/A</v>
      </c>
      <c r="BB184" t="e">
        <f t="shared" si="31"/>
        <v>#N/A</v>
      </c>
      <c r="BC184" s="13">
        <f t="shared" si="31"/>
        <v>1021</v>
      </c>
    </row>
    <row r="185" spans="2:55" x14ac:dyDescent="0.45">
      <c r="B185" s="11">
        <v>7</v>
      </c>
      <c r="C185" s="13">
        <v>175</v>
      </c>
      <c r="D185" s="15">
        <v>7</v>
      </c>
      <c r="E185" s="15">
        <v>0</v>
      </c>
      <c r="F185" s="15">
        <v>0</v>
      </c>
      <c r="G185" s="15">
        <v>0</v>
      </c>
      <c r="H185" s="16">
        <v>0</v>
      </c>
      <c r="I185">
        <f t="shared" si="26"/>
        <v>1021</v>
      </c>
      <c r="J185">
        <f t="shared" si="25"/>
        <v>1021</v>
      </c>
      <c r="K185">
        <f t="shared" si="27"/>
        <v>0</v>
      </c>
      <c r="L185" t="str">
        <f t="shared" si="28"/>
        <v/>
      </c>
      <c r="M185" s="13" t="str">
        <f t="shared" si="30"/>
        <v/>
      </c>
      <c r="AW185" s="12" t="e">
        <f t="shared" si="31"/>
        <v>#N/A</v>
      </c>
      <c r="AX185" t="e">
        <f t="shared" si="31"/>
        <v>#N/A</v>
      </c>
      <c r="AY185" t="e">
        <f t="shared" si="31"/>
        <v>#N/A</v>
      </c>
      <c r="AZ185" t="e">
        <f t="shared" si="31"/>
        <v>#N/A</v>
      </c>
      <c r="BA185" t="e">
        <f t="shared" si="31"/>
        <v>#N/A</v>
      </c>
      <c r="BB185" t="e">
        <f t="shared" si="31"/>
        <v>#N/A</v>
      </c>
      <c r="BC185" s="13">
        <f t="shared" si="31"/>
        <v>1021</v>
      </c>
    </row>
    <row r="186" spans="2:55" x14ac:dyDescent="0.45">
      <c r="B186" s="11">
        <v>7</v>
      </c>
      <c r="C186" s="13">
        <v>176</v>
      </c>
      <c r="D186" s="8">
        <v>1</v>
      </c>
      <c r="E186" s="8">
        <v>1</v>
      </c>
      <c r="F186" s="8">
        <v>1</v>
      </c>
      <c r="G186" s="8">
        <v>150</v>
      </c>
      <c r="H186" s="10">
        <v>99</v>
      </c>
      <c r="I186">
        <f t="shared" si="26"/>
        <v>1021</v>
      </c>
      <c r="J186">
        <f t="shared" si="25"/>
        <v>1072</v>
      </c>
      <c r="K186">
        <f t="shared" si="27"/>
        <v>0</v>
      </c>
      <c r="L186">
        <f t="shared" si="28"/>
        <v>99</v>
      </c>
      <c r="M186" s="13" t="str">
        <f t="shared" si="30"/>
        <v/>
      </c>
      <c r="AW186" s="12" t="e">
        <f t="shared" si="31"/>
        <v>#N/A</v>
      </c>
      <c r="AX186" t="e">
        <f t="shared" si="31"/>
        <v>#N/A</v>
      </c>
      <c r="AY186" t="e">
        <f t="shared" si="31"/>
        <v>#N/A</v>
      </c>
      <c r="AZ186" t="e">
        <f t="shared" si="31"/>
        <v>#N/A</v>
      </c>
      <c r="BA186" t="e">
        <f t="shared" si="31"/>
        <v>#N/A</v>
      </c>
      <c r="BB186" t="e">
        <f t="shared" si="31"/>
        <v>#N/A</v>
      </c>
      <c r="BC186" s="13">
        <f t="shared" si="31"/>
        <v>1072</v>
      </c>
    </row>
    <row r="187" spans="2:55" x14ac:dyDescent="0.45">
      <c r="B187" s="11">
        <v>7</v>
      </c>
      <c r="C187" s="13">
        <v>177</v>
      </c>
      <c r="D187">
        <v>2</v>
      </c>
      <c r="E187">
        <v>1</v>
      </c>
      <c r="F187">
        <v>1</v>
      </c>
      <c r="G187">
        <v>157</v>
      </c>
      <c r="H187" s="13">
        <v>154</v>
      </c>
      <c r="I187">
        <f t="shared" si="26"/>
        <v>1072</v>
      </c>
      <c r="J187">
        <f t="shared" si="25"/>
        <v>1075</v>
      </c>
      <c r="K187">
        <f t="shared" si="27"/>
        <v>0</v>
      </c>
      <c r="L187">
        <f t="shared" si="28"/>
        <v>154</v>
      </c>
      <c r="M187" s="13" t="str">
        <f t="shared" si="30"/>
        <v/>
      </c>
      <c r="AW187" s="12" t="e">
        <f t="shared" ref="AW187:BC202" si="32">IF($B187=AW$10,$J187,NA())</f>
        <v>#N/A</v>
      </c>
      <c r="AX187" t="e">
        <f t="shared" si="32"/>
        <v>#N/A</v>
      </c>
      <c r="AY187" t="e">
        <f t="shared" si="32"/>
        <v>#N/A</v>
      </c>
      <c r="AZ187" t="e">
        <f t="shared" si="32"/>
        <v>#N/A</v>
      </c>
      <c r="BA187" t="e">
        <f t="shared" si="32"/>
        <v>#N/A</v>
      </c>
      <c r="BB187" t="e">
        <f t="shared" si="32"/>
        <v>#N/A</v>
      </c>
      <c r="BC187" s="13">
        <f t="shared" si="32"/>
        <v>1075</v>
      </c>
    </row>
    <row r="188" spans="2:55" x14ac:dyDescent="0.45">
      <c r="B188" s="11">
        <v>7</v>
      </c>
      <c r="C188" s="13">
        <v>178</v>
      </c>
      <c r="D188">
        <v>3</v>
      </c>
      <c r="E188">
        <v>1</v>
      </c>
      <c r="F188">
        <v>1</v>
      </c>
      <c r="G188">
        <v>157</v>
      </c>
      <c r="H188" s="13">
        <v>165</v>
      </c>
      <c r="I188">
        <f t="shared" si="26"/>
        <v>1075</v>
      </c>
      <c r="J188">
        <f t="shared" si="25"/>
        <v>1067</v>
      </c>
      <c r="K188">
        <f t="shared" si="27"/>
        <v>0</v>
      </c>
      <c r="L188">
        <f t="shared" si="28"/>
        <v>165</v>
      </c>
      <c r="M188" s="13" t="str">
        <f t="shared" si="30"/>
        <v/>
      </c>
      <c r="AW188" s="12" t="e">
        <f t="shared" si="32"/>
        <v>#N/A</v>
      </c>
      <c r="AX188" t="e">
        <f t="shared" si="32"/>
        <v>#N/A</v>
      </c>
      <c r="AY188" t="e">
        <f t="shared" si="32"/>
        <v>#N/A</v>
      </c>
      <c r="AZ188" t="e">
        <f t="shared" si="32"/>
        <v>#N/A</v>
      </c>
      <c r="BA188" t="e">
        <f t="shared" si="32"/>
        <v>#N/A</v>
      </c>
      <c r="BB188" t="e">
        <f t="shared" si="32"/>
        <v>#N/A</v>
      </c>
      <c r="BC188" s="13">
        <f t="shared" si="32"/>
        <v>1067</v>
      </c>
    </row>
    <row r="189" spans="2:55" x14ac:dyDescent="0.45">
      <c r="B189" s="11">
        <v>7</v>
      </c>
      <c r="C189" s="13">
        <v>179</v>
      </c>
      <c r="D189">
        <v>4</v>
      </c>
      <c r="E189">
        <v>1</v>
      </c>
      <c r="F189">
        <v>1</v>
      </c>
      <c r="G189">
        <v>156</v>
      </c>
      <c r="H189" s="13">
        <v>144</v>
      </c>
      <c r="I189">
        <f t="shared" si="26"/>
        <v>1067</v>
      </c>
      <c r="J189">
        <f t="shared" si="25"/>
        <v>1079</v>
      </c>
      <c r="K189">
        <f t="shared" si="27"/>
        <v>0</v>
      </c>
      <c r="L189">
        <f t="shared" si="28"/>
        <v>144</v>
      </c>
      <c r="M189" s="13" t="str">
        <f t="shared" si="30"/>
        <v/>
      </c>
      <c r="AW189" s="12" t="e">
        <f t="shared" si="32"/>
        <v>#N/A</v>
      </c>
      <c r="AX189" t="e">
        <f t="shared" si="32"/>
        <v>#N/A</v>
      </c>
      <c r="AY189" t="e">
        <f t="shared" si="32"/>
        <v>#N/A</v>
      </c>
      <c r="AZ189" t="e">
        <f t="shared" si="32"/>
        <v>#N/A</v>
      </c>
      <c r="BA189" t="e">
        <f t="shared" si="32"/>
        <v>#N/A</v>
      </c>
      <c r="BB189" t="e">
        <f t="shared" si="32"/>
        <v>#N/A</v>
      </c>
      <c r="BC189" s="13">
        <f t="shared" si="32"/>
        <v>1079</v>
      </c>
    </row>
    <row r="190" spans="2:55" x14ac:dyDescent="0.45">
      <c r="B190" s="11">
        <v>7</v>
      </c>
      <c r="C190" s="13">
        <v>180</v>
      </c>
      <c r="D190">
        <v>5</v>
      </c>
      <c r="E190">
        <v>1</v>
      </c>
      <c r="F190">
        <v>1</v>
      </c>
      <c r="G190">
        <v>152</v>
      </c>
      <c r="H190" s="13">
        <v>160</v>
      </c>
      <c r="I190">
        <f t="shared" si="26"/>
        <v>1079</v>
      </c>
      <c r="J190">
        <f t="shared" si="25"/>
        <v>1071</v>
      </c>
      <c r="K190">
        <f t="shared" si="27"/>
        <v>0</v>
      </c>
      <c r="L190">
        <f t="shared" si="28"/>
        <v>160</v>
      </c>
      <c r="M190" s="13" t="str">
        <f t="shared" si="30"/>
        <v/>
      </c>
      <c r="AW190" s="12" t="e">
        <f t="shared" si="32"/>
        <v>#N/A</v>
      </c>
      <c r="AX190" t="e">
        <f t="shared" si="32"/>
        <v>#N/A</v>
      </c>
      <c r="AY190" t="e">
        <f t="shared" si="32"/>
        <v>#N/A</v>
      </c>
      <c r="AZ190" t="e">
        <f t="shared" si="32"/>
        <v>#N/A</v>
      </c>
      <c r="BA190" t="e">
        <f t="shared" si="32"/>
        <v>#N/A</v>
      </c>
      <c r="BB190" t="e">
        <f t="shared" si="32"/>
        <v>#N/A</v>
      </c>
      <c r="BC190" s="13">
        <f t="shared" si="32"/>
        <v>1071</v>
      </c>
    </row>
    <row r="191" spans="2:55" x14ac:dyDescent="0.45">
      <c r="B191" s="11">
        <v>7</v>
      </c>
      <c r="C191" s="13">
        <v>181</v>
      </c>
      <c r="D191">
        <v>6</v>
      </c>
      <c r="E191">
        <v>0</v>
      </c>
      <c r="F191">
        <v>1</v>
      </c>
      <c r="G191">
        <v>0</v>
      </c>
      <c r="H191" s="13">
        <v>153</v>
      </c>
      <c r="I191">
        <f t="shared" si="26"/>
        <v>1071</v>
      </c>
      <c r="J191">
        <f t="shared" si="25"/>
        <v>918</v>
      </c>
      <c r="K191">
        <f t="shared" si="27"/>
        <v>0</v>
      </c>
      <c r="L191">
        <f t="shared" si="28"/>
        <v>153</v>
      </c>
      <c r="M191" s="13" t="str">
        <f t="shared" si="30"/>
        <v/>
      </c>
      <c r="AW191" s="12" t="e">
        <f t="shared" si="32"/>
        <v>#N/A</v>
      </c>
      <c r="AX191" t="e">
        <f t="shared" si="32"/>
        <v>#N/A</v>
      </c>
      <c r="AY191" t="e">
        <f t="shared" si="32"/>
        <v>#N/A</v>
      </c>
      <c r="AZ191" t="e">
        <f t="shared" si="32"/>
        <v>#N/A</v>
      </c>
      <c r="BA191" t="e">
        <f t="shared" si="32"/>
        <v>#N/A</v>
      </c>
      <c r="BB191" t="e">
        <f t="shared" si="32"/>
        <v>#N/A</v>
      </c>
      <c r="BC191" s="13">
        <f t="shared" si="32"/>
        <v>918</v>
      </c>
    </row>
    <row r="192" spans="2:55" x14ac:dyDescent="0.45">
      <c r="B192" s="11">
        <v>7</v>
      </c>
      <c r="C192" s="13">
        <v>182</v>
      </c>
      <c r="D192" s="15">
        <v>7</v>
      </c>
      <c r="E192" s="15">
        <v>0</v>
      </c>
      <c r="F192" s="15">
        <v>0</v>
      </c>
      <c r="G192" s="15">
        <v>0</v>
      </c>
      <c r="H192" s="16">
        <v>0</v>
      </c>
      <c r="I192">
        <f t="shared" si="26"/>
        <v>918</v>
      </c>
      <c r="J192">
        <f t="shared" si="25"/>
        <v>918</v>
      </c>
      <c r="K192">
        <f t="shared" si="27"/>
        <v>0</v>
      </c>
      <c r="L192" t="str">
        <f t="shared" si="28"/>
        <v/>
      </c>
      <c r="M192" s="13" t="str">
        <f t="shared" si="30"/>
        <v/>
      </c>
      <c r="AW192" s="12" t="e">
        <f t="shared" si="32"/>
        <v>#N/A</v>
      </c>
      <c r="AX192" t="e">
        <f t="shared" si="32"/>
        <v>#N/A</v>
      </c>
      <c r="AY192" t="e">
        <f t="shared" si="32"/>
        <v>#N/A</v>
      </c>
      <c r="AZ192" t="e">
        <f t="shared" si="32"/>
        <v>#N/A</v>
      </c>
      <c r="BA192" t="e">
        <f t="shared" si="32"/>
        <v>#N/A</v>
      </c>
      <c r="BB192" t="e">
        <f t="shared" si="32"/>
        <v>#N/A</v>
      </c>
      <c r="BC192" s="13">
        <f t="shared" si="32"/>
        <v>918</v>
      </c>
    </row>
    <row r="193" spans="2:55" x14ac:dyDescent="0.45">
      <c r="B193" s="11">
        <v>7</v>
      </c>
      <c r="C193" s="13">
        <v>183</v>
      </c>
      <c r="D193" s="8">
        <v>1</v>
      </c>
      <c r="E193" s="8">
        <v>1</v>
      </c>
      <c r="F193" s="8">
        <v>1</v>
      </c>
      <c r="G193" s="8">
        <v>127</v>
      </c>
      <c r="H193" s="10">
        <v>155</v>
      </c>
      <c r="I193">
        <f t="shared" si="26"/>
        <v>918</v>
      </c>
      <c r="J193">
        <f t="shared" si="25"/>
        <v>890</v>
      </c>
      <c r="K193">
        <f t="shared" si="27"/>
        <v>0</v>
      </c>
      <c r="L193">
        <f t="shared" si="28"/>
        <v>155</v>
      </c>
      <c r="M193" s="13" t="str">
        <f t="shared" si="30"/>
        <v/>
      </c>
      <c r="AW193" s="12" t="e">
        <f t="shared" si="32"/>
        <v>#N/A</v>
      </c>
      <c r="AX193" t="e">
        <f t="shared" si="32"/>
        <v>#N/A</v>
      </c>
      <c r="AY193" t="e">
        <f t="shared" si="32"/>
        <v>#N/A</v>
      </c>
      <c r="AZ193" t="e">
        <f t="shared" si="32"/>
        <v>#N/A</v>
      </c>
      <c r="BA193" t="e">
        <f t="shared" si="32"/>
        <v>#N/A</v>
      </c>
      <c r="BB193" t="e">
        <f t="shared" si="32"/>
        <v>#N/A</v>
      </c>
      <c r="BC193" s="13">
        <f t="shared" si="32"/>
        <v>890</v>
      </c>
    </row>
    <row r="194" spans="2:55" x14ac:dyDescent="0.45">
      <c r="B194" s="11">
        <v>7</v>
      </c>
      <c r="C194" s="13">
        <v>184</v>
      </c>
      <c r="D194">
        <v>2</v>
      </c>
      <c r="E194">
        <v>1</v>
      </c>
      <c r="F194">
        <v>1</v>
      </c>
      <c r="G194">
        <v>126</v>
      </c>
      <c r="H194" s="13">
        <v>143</v>
      </c>
      <c r="I194">
        <f t="shared" si="26"/>
        <v>890</v>
      </c>
      <c r="J194">
        <f t="shared" si="25"/>
        <v>873</v>
      </c>
      <c r="K194">
        <f t="shared" si="27"/>
        <v>0</v>
      </c>
      <c r="L194">
        <f t="shared" si="28"/>
        <v>143</v>
      </c>
      <c r="M194" s="13" t="str">
        <f t="shared" si="30"/>
        <v/>
      </c>
      <c r="AW194" s="12" t="e">
        <f t="shared" si="32"/>
        <v>#N/A</v>
      </c>
      <c r="AX194" t="e">
        <f t="shared" si="32"/>
        <v>#N/A</v>
      </c>
      <c r="AY194" t="e">
        <f t="shared" si="32"/>
        <v>#N/A</v>
      </c>
      <c r="AZ194" t="e">
        <f t="shared" si="32"/>
        <v>#N/A</v>
      </c>
      <c r="BA194" t="e">
        <f t="shared" si="32"/>
        <v>#N/A</v>
      </c>
      <c r="BB194" t="e">
        <f t="shared" si="32"/>
        <v>#N/A</v>
      </c>
      <c r="BC194" s="13">
        <f t="shared" si="32"/>
        <v>873</v>
      </c>
    </row>
    <row r="195" spans="2:55" x14ac:dyDescent="0.45">
      <c r="B195" s="11">
        <v>7</v>
      </c>
      <c r="C195" s="13">
        <v>185</v>
      </c>
      <c r="D195">
        <v>3</v>
      </c>
      <c r="E195">
        <v>1</v>
      </c>
      <c r="F195">
        <v>1</v>
      </c>
      <c r="G195">
        <v>129</v>
      </c>
      <c r="H195" s="13">
        <v>143</v>
      </c>
      <c r="I195">
        <f t="shared" si="26"/>
        <v>873</v>
      </c>
      <c r="J195">
        <f t="shared" si="25"/>
        <v>859</v>
      </c>
      <c r="K195">
        <f t="shared" si="27"/>
        <v>0</v>
      </c>
      <c r="L195">
        <f t="shared" si="28"/>
        <v>143</v>
      </c>
      <c r="M195" s="13" t="str">
        <f t="shared" si="30"/>
        <v/>
      </c>
      <c r="AW195" s="12" t="e">
        <f t="shared" si="32"/>
        <v>#N/A</v>
      </c>
      <c r="AX195" t="e">
        <f t="shared" si="32"/>
        <v>#N/A</v>
      </c>
      <c r="AY195" t="e">
        <f t="shared" si="32"/>
        <v>#N/A</v>
      </c>
      <c r="AZ195" t="e">
        <f t="shared" si="32"/>
        <v>#N/A</v>
      </c>
      <c r="BA195" t="e">
        <f t="shared" si="32"/>
        <v>#N/A</v>
      </c>
      <c r="BB195" t="e">
        <f t="shared" si="32"/>
        <v>#N/A</v>
      </c>
      <c r="BC195" s="13">
        <f t="shared" si="32"/>
        <v>859</v>
      </c>
    </row>
    <row r="196" spans="2:55" x14ac:dyDescent="0.45">
      <c r="B196" s="11">
        <v>7</v>
      </c>
      <c r="C196" s="13">
        <v>186</v>
      </c>
      <c r="D196">
        <v>4</v>
      </c>
      <c r="E196">
        <v>1</v>
      </c>
      <c r="F196">
        <v>1</v>
      </c>
      <c r="G196">
        <v>126</v>
      </c>
      <c r="H196" s="13">
        <v>144</v>
      </c>
      <c r="I196">
        <f t="shared" si="26"/>
        <v>859</v>
      </c>
      <c r="J196">
        <f t="shared" si="25"/>
        <v>841</v>
      </c>
      <c r="K196">
        <f t="shared" si="27"/>
        <v>0</v>
      </c>
      <c r="L196">
        <f t="shared" si="28"/>
        <v>144</v>
      </c>
      <c r="M196" s="13" t="str">
        <f t="shared" si="30"/>
        <v/>
      </c>
      <c r="AW196" s="12" t="e">
        <f t="shared" si="32"/>
        <v>#N/A</v>
      </c>
      <c r="AX196" t="e">
        <f t="shared" si="32"/>
        <v>#N/A</v>
      </c>
      <c r="AY196" t="e">
        <f t="shared" si="32"/>
        <v>#N/A</v>
      </c>
      <c r="AZ196" t="e">
        <f t="shared" si="32"/>
        <v>#N/A</v>
      </c>
      <c r="BA196" t="e">
        <f t="shared" si="32"/>
        <v>#N/A</v>
      </c>
      <c r="BB196" t="e">
        <f t="shared" si="32"/>
        <v>#N/A</v>
      </c>
      <c r="BC196" s="13">
        <f t="shared" si="32"/>
        <v>841</v>
      </c>
    </row>
    <row r="197" spans="2:55" x14ac:dyDescent="0.45">
      <c r="B197" s="11">
        <v>7</v>
      </c>
      <c r="C197" s="13">
        <v>187</v>
      </c>
      <c r="D197">
        <v>5</v>
      </c>
      <c r="E197">
        <v>1</v>
      </c>
      <c r="F197">
        <v>1</v>
      </c>
      <c r="G197">
        <v>128</v>
      </c>
      <c r="H197" s="13">
        <v>159</v>
      </c>
      <c r="I197">
        <f t="shared" si="26"/>
        <v>841</v>
      </c>
      <c r="J197">
        <f t="shared" si="25"/>
        <v>810</v>
      </c>
      <c r="K197">
        <f t="shared" si="27"/>
        <v>0</v>
      </c>
      <c r="L197">
        <f t="shared" si="28"/>
        <v>159</v>
      </c>
      <c r="M197" s="13" t="str">
        <f t="shared" si="30"/>
        <v/>
      </c>
      <c r="AW197" s="12" t="e">
        <f t="shared" si="32"/>
        <v>#N/A</v>
      </c>
      <c r="AX197" t="e">
        <f t="shared" si="32"/>
        <v>#N/A</v>
      </c>
      <c r="AY197" t="e">
        <f t="shared" si="32"/>
        <v>#N/A</v>
      </c>
      <c r="AZ197" t="e">
        <f t="shared" si="32"/>
        <v>#N/A</v>
      </c>
      <c r="BA197" t="e">
        <f t="shared" si="32"/>
        <v>#N/A</v>
      </c>
      <c r="BB197" t="e">
        <f t="shared" si="32"/>
        <v>#N/A</v>
      </c>
      <c r="BC197" s="13">
        <f t="shared" si="32"/>
        <v>810</v>
      </c>
    </row>
    <row r="198" spans="2:55" x14ac:dyDescent="0.45">
      <c r="B198" s="11">
        <v>7</v>
      </c>
      <c r="C198" s="13">
        <v>188</v>
      </c>
      <c r="D198">
        <v>6</v>
      </c>
      <c r="E198">
        <v>0</v>
      </c>
      <c r="F198">
        <v>1</v>
      </c>
      <c r="G198">
        <v>0</v>
      </c>
      <c r="H198" s="13">
        <v>147</v>
      </c>
      <c r="I198">
        <f t="shared" si="26"/>
        <v>810</v>
      </c>
      <c r="J198">
        <f t="shared" si="25"/>
        <v>663</v>
      </c>
      <c r="K198">
        <f t="shared" si="27"/>
        <v>0</v>
      </c>
      <c r="L198">
        <f t="shared" si="28"/>
        <v>147</v>
      </c>
      <c r="M198" s="13" t="str">
        <f t="shared" si="30"/>
        <v/>
      </c>
      <c r="AW198" s="12" t="e">
        <f t="shared" si="32"/>
        <v>#N/A</v>
      </c>
      <c r="AX198" t="e">
        <f t="shared" si="32"/>
        <v>#N/A</v>
      </c>
      <c r="AY198" t="e">
        <f t="shared" si="32"/>
        <v>#N/A</v>
      </c>
      <c r="AZ198" t="e">
        <f t="shared" si="32"/>
        <v>#N/A</v>
      </c>
      <c r="BA198" t="e">
        <f t="shared" si="32"/>
        <v>#N/A</v>
      </c>
      <c r="BB198" t="e">
        <f t="shared" si="32"/>
        <v>#N/A</v>
      </c>
      <c r="BC198" s="13">
        <f t="shared" si="32"/>
        <v>663</v>
      </c>
    </row>
    <row r="199" spans="2:55" x14ac:dyDescent="0.45">
      <c r="B199" s="11">
        <v>7</v>
      </c>
      <c r="C199" s="13">
        <v>189</v>
      </c>
      <c r="D199" s="15">
        <v>7</v>
      </c>
      <c r="E199" s="15">
        <v>0</v>
      </c>
      <c r="F199" s="15">
        <v>0</v>
      </c>
      <c r="G199" s="15">
        <v>0</v>
      </c>
      <c r="H199" s="16">
        <v>0</v>
      </c>
      <c r="I199">
        <f t="shared" si="26"/>
        <v>663</v>
      </c>
      <c r="J199">
        <f t="shared" si="25"/>
        <v>663</v>
      </c>
      <c r="K199">
        <f t="shared" si="27"/>
        <v>0</v>
      </c>
      <c r="L199" t="str">
        <f t="shared" si="28"/>
        <v/>
      </c>
      <c r="M199" s="13" t="str">
        <f t="shared" si="30"/>
        <v/>
      </c>
      <c r="AW199" s="12" t="e">
        <f t="shared" si="32"/>
        <v>#N/A</v>
      </c>
      <c r="AX199" t="e">
        <f t="shared" si="32"/>
        <v>#N/A</v>
      </c>
      <c r="AY199" t="e">
        <f t="shared" si="32"/>
        <v>#N/A</v>
      </c>
      <c r="AZ199" t="e">
        <f t="shared" si="32"/>
        <v>#N/A</v>
      </c>
      <c r="BA199" t="e">
        <f t="shared" si="32"/>
        <v>#N/A</v>
      </c>
      <c r="BB199" t="e">
        <f t="shared" si="32"/>
        <v>#N/A</v>
      </c>
      <c r="BC199" s="13">
        <f t="shared" si="32"/>
        <v>663</v>
      </c>
    </row>
    <row r="200" spans="2:55" x14ac:dyDescent="0.45">
      <c r="B200" s="11">
        <v>7</v>
      </c>
      <c r="C200" s="13">
        <v>190</v>
      </c>
      <c r="D200" s="8">
        <v>1</v>
      </c>
      <c r="E200" s="8">
        <v>1</v>
      </c>
      <c r="F200" s="8">
        <v>1</v>
      </c>
      <c r="G200" s="8">
        <v>127</v>
      </c>
      <c r="H200" s="10">
        <v>146</v>
      </c>
      <c r="I200">
        <f t="shared" si="26"/>
        <v>663</v>
      </c>
      <c r="J200">
        <f t="shared" si="25"/>
        <v>644</v>
      </c>
      <c r="K200">
        <f t="shared" si="27"/>
        <v>0</v>
      </c>
      <c r="L200">
        <f t="shared" si="28"/>
        <v>146</v>
      </c>
      <c r="M200" s="13" t="str">
        <f t="shared" si="30"/>
        <v/>
      </c>
      <c r="AW200" s="12" t="e">
        <f t="shared" si="32"/>
        <v>#N/A</v>
      </c>
      <c r="AX200" t="e">
        <f t="shared" si="32"/>
        <v>#N/A</v>
      </c>
      <c r="AY200" t="e">
        <f t="shared" si="32"/>
        <v>#N/A</v>
      </c>
      <c r="AZ200" t="e">
        <f t="shared" si="32"/>
        <v>#N/A</v>
      </c>
      <c r="BA200" t="e">
        <f t="shared" si="32"/>
        <v>#N/A</v>
      </c>
      <c r="BB200" t="e">
        <f t="shared" si="32"/>
        <v>#N/A</v>
      </c>
      <c r="BC200" s="13">
        <f t="shared" si="32"/>
        <v>644</v>
      </c>
    </row>
    <row r="201" spans="2:55" x14ac:dyDescent="0.45">
      <c r="B201" s="11">
        <v>7</v>
      </c>
      <c r="C201" s="13">
        <v>191</v>
      </c>
      <c r="D201">
        <v>2</v>
      </c>
      <c r="E201">
        <v>1</v>
      </c>
      <c r="F201">
        <v>1</v>
      </c>
      <c r="G201">
        <v>129</v>
      </c>
      <c r="H201" s="13">
        <v>161</v>
      </c>
      <c r="I201">
        <f t="shared" si="26"/>
        <v>644</v>
      </c>
      <c r="J201">
        <f t="shared" si="25"/>
        <v>612</v>
      </c>
      <c r="K201">
        <f t="shared" si="27"/>
        <v>0</v>
      </c>
      <c r="L201">
        <f t="shared" si="28"/>
        <v>161</v>
      </c>
      <c r="M201" s="13" t="str">
        <f t="shared" si="30"/>
        <v/>
      </c>
      <c r="AW201" s="12" t="e">
        <f t="shared" si="32"/>
        <v>#N/A</v>
      </c>
      <c r="AX201" t="e">
        <f t="shared" si="32"/>
        <v>#N/A</v>
      </c>
      <c r="AY201" t="e">
        <f t="shared" si="32"/>
        <v>#N/A</v>
      </c>
      <c r="AZ201" t="e">
        <f t="shared" si="32"/>
        <v>#N/A</v>
      </c>
      <c r="BA201" t="e">
        <f t="shared" si="32"/>
        <v>#N/A</v>
      </c>
      <c r="BB201" t="e">
        <f t="shared" si="32"/>
        <v>#N/A</v>
      </c>
      <c r="BC201" s="13">
        <f t="shared" si="32"/>
        <v>612</v>
      </c>
    </row>
    <row r="202" spans="2:55" x14ac:dyDescent="0.45">
      <c r="B202" s="11">
        <v>7</v>
      </c>
      <c r="C202" s="13">
        <v>192</v>
      </c>
      <c r="D202">
        <v>3</v>
      </c>
      <c r="E202">
        <v>1</v>
      </c>
      <c r="F202">
        <v>1</v>
      </c>
      <c r="G202">
        <v>126</v>
      </c>
      <c r="H202" s="13">
        <v>165</v>
      </c>
      <c r="I202">
        <f t="shared" si="26"/>
        <v>612</v>
      </c>
      <c r="J202">
        <f t="shared" si="25"/>
        <v>573</v>
      </c>
      <c r="K202">
        <f t="shared" si="27"/>
        <v>0</v>
      </c>
      <c r="L202">
        <f t="shared" si="28"/>
        <v>165</v>
      </c>
      <c r="M202" s="13" t="str">
        <f t="shared" si="30"/>
        <v/>
      </c>
      <c r="AW202" s="12" t="e">
        <f t="shared" si="32"/>
        <v>#N/A</v>
      </c>
      <c r="AX202" t="e">
        <f t="shared" si="32"/>
        <v>#N/A</v>
      </c>
      <c r="AY202" t="e">
        <f t="shared" si="32"/>
        <v>#N/A</v>
      </c>
      <c r="AZ202" t="e">
        <f t="shared" si="32"/>
        <v>#N/A</v>
      </c>
      <c r="BA202" t="e">
        <f t="shared" si="32"/>
        <v>#N/A</v>
      </c>
      <c r="BB202" t="e">
        <f t="shared" si="32"/>
        <v>#N/A</v>
      </c>
      <c r="BC202" s="13">
        <f t="shared" si="32"/>
        <v>573</v>
      </c>
    </row>
    <row r="203" spans="2:55" x14ac:dyDescent="0.45">
      <c r="B203" s="11">
        <v>7</v>
      </c>
      <c r="C203" s="13">
        <v>193</v>
      </c>
      <c r="D203">
        <v>4</v>
      </c>
      <c r="E203">
        <v>1</v>
      </c>
      <c r="F203">
        <v>1</v>
      </c>
      <c r="G203">
        <v>121</v>
      </c>
      <c r="H203" s="13">
        <v>148</v>
      </c>
      <c r="I203">
        <f t="shared" si="26"/>
        <v>573</v>
      </c>
      <c r="J203">
        <f t="shared" si="25"/>
        <v>546</v>
      </c>
      <c r="K203">
        <f t="shared" si="27"/>
        <v>0</v>
      </c>
      <c r="L203">
        <f t="shared" si="28"/>
        <v>148</v>
      </c>
      <c r="M203" s="13" t="str">
        <f t="shared" si="30"/>
        <v/>
      </c>
      <c r="AW203" s="12" t="e">
        <f t="shared" ref="AW203:BC206" si="33">IF($B203=AW$10,$J203,NA())</f>
        <v>#N/A</v>
      </c>
      <c r="AX203" t="e">
        <f t="shared" si="33"/>
        <v>#N/A</v>
      </c>
      <c r="AY203" t="e">
        <f t="shared" si="33"/>
        <v>#N/A</v>
      </c>
      <c r="AZ203" t="e">
        <f t="shared" si="33"/>
        <v>#N/A</v>
      </c>
      <c r="BA203" t="e">
        <f t="shared" si="33"/>
        <v>#N/A</v>
      </c>
      <c r="BB203" t="e">
        <f t="shared" si="33"/>
        <v>#N/A</v>
      </c>
      <c r="BC203" s="13">
        <f t="shared" si="33"/>
        <v>546</v>
      </c>
    </row>
    <row r="204" spans="2:55" x14ac:dyDescent="0.45">
      <c r="B204" s="11">
        <v>7</v>
      </c>
      <c r="C204" s="13">
        <v>194</v>
      </c>
      <c r="D204">
        <v>5</v>
      </c>
      <c r="E204">
        <v>1</v>
      </c>
      <c r="F204">
        <v>1</v>
      </c>
      <c r="G204">
        <v>128</v>
      </c>
      <c r="H204" s="13">
        <v>153</v>
      </c>
      <c r="I204">
        <f t="shared" si="26"/>
        <v>546</v>
      </c>
      <c r="J204">
        <f t="shared" ref="J204:J206" si="34">I204+G204-H204</f>
        <v>521</v>
      </c>
      <c r="K204">
        <f t="shared" si="27"/>
        <v>0</v>
      </c>
      <c r="L204">
        <f t="shared" si="28"/>
        <v>153</v>
      </c>
      <c r="M204" s="13" t="str">
        <f t="shared" si="30"/>
        <v/>
      </c>
      <c r="AW204" s="12" t="e">
        <f t="shared" si="33"/>
        <v>#N/A</v>
      </c>
      <c r="AX204" t="e">
        <f t="shared" si="33"/>
        <v>#N/A</v>
      </c>
      <c r="AY204" t="e">
        <f t="shared" si="33"/>
        <v>#N/A</v>
      </c>
      <c r="AZ204" t="e">
        <f t="shared" si="33"/>
        <v>#N/A</v>
      </c>
      <c r="BA204" t="e">
        <f t="shared" si="33"/>
        <v>#N/A</v>
      </c>
      <c r="BB204" t="e">
        <f t="shared" si="33"/>
        <v>#N/A</v>
      </c>
      <c r="BC204" s="13">
        <f t="shared" si="33"/>
        <v>521</v>
      </c>
    </row>
    <row r="205" spans="2:55" x14ac:dyDescent="0.45">
      <c r="B205" s="11">
        <v>7</v>
      </c>
      <c r="C205" s="13">
        <v>195</v>
      </c>
      <c r="D205">
        <v>6</v>
      </c>
      <c r="E205">
        <v>0</v>
      </c>
      <c r="F205">
        <v>1</v>
      </c>
      <c r="G205">
        <v>0</v>
      </c>
      <c r="H205" s="13">
        <v>157</v>
      </c>
      <c r="I205">
        <f t="shared" ref="I205:I206" si="35">J204</f>
        <v>521</v>
      </c>
      <c r="J205">
        <f t="shared" si="34"/>
        <v>364</v>
      </c>
      <c r="K205">
        <f t="shared" ref="K205:K206" si="36">IF(AND(H205=I205,F205=1),1,0)</f>
        <v>0</v>
      </c>
      <c r="L205">
        <f t="shared" ref="L205:L206" si="37">IF(OR(F205=0,K205=1),"",H205)</f>
        <v>157</v>
      </c>
      <c r="M205" s="13" t="str">
        <f t="shared" si="30"/>
        <v/>
      </c>
      <c r="AW205" s="12" t="e">
        <f t="shared" si="33"/>
        <v>#N/A</v>
      </c>
      <c r="AX205" t="e">
        <f t="shared" si="33"/>
        <v>#N/A</v>
      </c>
      <c r="AY205" t="e">
        <f t="shared" si="33"/>
        <v>#N/A</v>
      </c>
      <c r="AZ205" t="e">
        <f t="shared" si="33"/>
        <v>#N/A</v>
      </c>
      <c r="BA205" t="e">
        <f t="shared" si="33"/>
        <v>#N/A</v>
      </c>
      <c r="BB205" t="e">
        <f t="shared" si="33"/>
        <v>#N/A</v>
      </c>
      <c r="BC205" s="13">
        <f t="shared" si="33"/>
        <v>364</v>
      </c>
    </row>
    <row r="206" spans="2:55" x14ac:dyDescent="0.45">
      <c r="B206" s="17">
        <v>7</v>
      </c>
      <c r="C206" s="16">
        <v>196</v>
      </c>
      <c r="D206" s="15">
        <v>7</v>
      </c>
      <c r="E206" s="15">
        <v>0</v>
      </c>
      <c r="F206" s="15">
        <v>0</v>
      </c>
      <c r="G206" s="15">
        <v>0</v>
      </c>
      <c r="H206" s="16">
        <v>0</v>
      </c>
      <c r="I206">
        <f t="shared" si="35"/>
        <v>364</v>
      </c>
      <c r="J206">
        <f t="shared" si="34"/>
        <v>364</v>
      </c>
      <c r="K206" s="15">
        <f t="shared" si="36"/>
        <v>0</v>
      </c>
      <c r="L206" s="15" t="str">
        <f t="shared" si="37"/>
        <v/>
      </c>
      <c r="M206" s="16">
        <f t="shared" si="30"/>
        <v>-754</v>
      </c>
      <c r="AW206" s="14" t="e">
        <f t="shared" si="33"/>
        <v>#N/A</v>
      </c>
      <c r="AX206" s="15" t="e">
        <f t="shared" si="33"/>
        <v>#N/A</v>
      </c>
      <c r="AY206" s="15" t="e">
        <f t="shared" si="33"/>
        <v>#N/A</v>
      </c>
      <c r="AZ206" s="15" t="e">
        <f t="shared" si="33"/>
        <v>#N/A</v>
      </c>
      <c r="BA206" s="15" t="e">
        <f t="shared" si="33"/>
        <v>#N/A</v>
      </c>
      <c r="BB206" s="15" t="e">
        <f t="shared" si="33"/>
        <v>#N/A</v>
      </c>
      <c r="BC206" s="16">
        <f t="shared" si="33"/>
        <v>364</v>
      </c>
    </row>
  </sheetData>
  <conditionalFormatting sqref="F11:F178">
    <cfRule type="cellIs" dxfId="6" priority="5" operator="equal">
      <formula>0</formula>
    </cfRule>
  </conditionalFormatting>
  <conditionalFormatting sqref="H11:H178">
    <cfRule type="cellIs" dxfId="5" priority="4" operator="equal">
      <formula>0</formula>
    </cfRule>
  </conditionalFormatting>
  <conditionalFormatting sqref="D11:H206 I11">
    <cfRule type="cellIs" dxfId="4" priority="3" operator="equal">
      <formula>0</formula>
    </cfRule>
  </conditionalFormatting>
  <conditionalFormatting sqref="E11:E178">
    <cfRule type="cellIs" dxfId="3" priority="7" operator="equal">
      <formula>0</formula>
    </cfRule>
  </conditionalFormatting>
  <conditionalFormatting sqref="G11:G178 H11:I11">
    <cfRule type="cellIs" dxfId="2" priority="6" operator="equal">
      <formula>0</formula>
    </cfRule>
  </conditionalFormatting>
  <conditionalFormatting sqref="S2:S8">
    <cfRule type="cellIs" dxfId="1" priority="2" operator="lessThan">
      <formula>0</formula>
    </cfRule>
  </conditionalFormatting>
  <conditionalFormatting sqref="K12:K206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19322-CBB6-4467-BAB5-07A305A9F6F4}">
  <sheetPr codeName="Sheet6"/>
  <dimension ref="A1:AC41"/>
  <sheetViews>
    <sheetView tabSelected="1" workbookViewId="0">
      <selection activeCell="J36" sqref="J36"/>
    </sheetView>
  </sheetViews>
  <sheetFormatPr defaultColWidth="9.1328125" defaultRowHeight="13.5" x14ac:dyDescent="0.35"/>
  <cols>
    <col min="1" max="1" width="5.53125" style="21" customWidth="1"/>
    <col min="2" max="2" width="3" style="21" customWidth="1"/>
    <col min="3" max="9" width="8.33203125" style="21" customWidth="1"/>
    <col min="10" max="10" width="13.6640625" style="21" customWidth="1"/>
    <col min="11" max="12" width="2.53125" style="21" customWidth="1"/>
    <col min="13" max="18" width="9.33203125" style="21" customWidth="1"/>
    <col min="19" max="20" width="3.33203125" style="21" customWidth="1"/>
    <col min="21" max="21" width="9.1328125" style="21"/>
    <col min="22" max="22" width="16.1328125" style="21" customWidth="1"/>
    <col min="23" max="24" width="5" style="21" customWidth="1"/>
    <col min="25" max="16384" width="9.1328125" style="21"/>
  </cols>
  <sheetData>
    <row r="1" spans="1:29" ht="15.75" customHeight="1" x14ac:dyDescent="0.4">
      <c r="A1" s="18"/>
      <c r="B1" s="18"/>
      <c r="C1" s="18"/>
      <c r="D1" s="18"/>
      <c r="E1" s="19"/>
      <c r="F1" s="18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5.75" customHeight="1" x14ac:dyDescent="0.4">
      <c r="A2" s="18"/>
      <c r="B2" s="22" t="s">
        <v>8</v>
      </c>
      <c r="C2" s="18"/>
      <c r="D2" s="18"/>
      <c r="E2" s="18"/>
      <c r="F2" s="18"/>
      <c r="G2" s="18"/>
      <c r="H2" s="18"/>
      <c r="I2" s="18"/>
      <c r="J2" s="23"/>
      <c r="K2" s="18"/>
      <c r="L2" s="18"/>
      <c r="M2" s="18"/>
      <c r="N2" s="24"/>
      <c r="O2" s="24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29" ht="15.75" customHeight="1" x14ac:dyDescent="0.4">
      <c r="A3" s="18"/>
      <c r="B3" s="25" t="s">
        <v>9</v>
      </c>
      <c r="C3" s="18"/>
      <c r="D3" s="18"/>
      <c r="E3" s="18"/>
      <c r="F3" s="18"/>
      <c r="G3" s="18"/>
      <c r="H3" s="18"/>
      <c r="I3" s="18"/>
      <c r="J3" s="26" t="s">
        <v>10</v>
      </c>
      <c r="K3" s="18"/>
      <c r="L3" s="18"/>
      <c r="M3" s="27" t="s">
        <v>11</v>
      </c>
      <c r="N3" s="24"/>
      <c r="O3" s="24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29" ht="15.75" customHeight="1" x14ac:dyDescent="0.35">
      <c r="A4" s="20" t="str">
        <f>"1."</f>
        <v>1.</v>
      </c>
      <c r="B4" s="27" t="s">
        <v>12</v>
      </c>
      <c r="C4" s="18"/>
      <c r="D4" s="18"/>
      <c r="E4" s="18"/>
      <c r="F4" s="18"/>
      <c r="G4" s="18"/>
      <c r="H4" s="18"/>
      <c r="I4" s="18"/>
      <c r="J4" s="28">
        <v>1173</v>
      </c>
      <c r="K4" s="18"/>
      <c r="L4" s="18"/>
      <c r="M4" s="29"/>
      <c r="N4" s="30"/>
      <c r="O4" s="30"/>
      <c r="P4" s="30"/>
      <c r="Q4" s="30"/>
      <c r="R4" s="31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1:29" ht="15.75" customHeight="1" x14ac:dyDescent="0.35">
      <c r="A5" s="20" t="str">
        <f>"2."</f>
        <v>2.</v>
      </c>
      <c r="B5" s="27" t="s">
        <v>13</v>
      </c>
      <c r="C5" s="18"/>
      <c r="D5" s="18"/>
      <c r="E5" s="18"/>
      <c r="F5" s="18"/>
      <c r="G5" s="18"/>
      <c r="H5" s="18"/>
      <c r="I5" s="18"/>
      <c r="J5" s="32">
        <v>173</v>
      </c>
      <c r="K5" s="18"/>
      <c r="L5" s="18"/>
      <c r="M5" s="33"/>
      <c r="R5" s="34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</row>
    <row r="6" spans="1:29" ht="15.75" customHeight="1" x14ac:dyDescent="0.35">
      <c r="A6" s="20" t="str">
        <f>"3."</f>
        <v>3.</v>
      </c>
      <c r="B6" s="27" t="s">
        <v>14</v>
      </c>
      <c r="C6" s="18"/>
      <c r="D6" s="18"/>
      <c r="E6" s="18"/>
      <c r="F6" s="18"/>
      <c r="G6" s="18"/>
      <c r="H6" s="18"/>
      <c r="I6" s="18"/>
      <c r="J6" s="32">
        <v>7</v>
      </c>
      <c r="K6" s="18"/>
      <c r="L6" s="18"/>
      <c r="M6" s="33"/>
      <c r="R6" s="34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</row>
    <row r="7" spans="1:29" ht="15.75" customHeight="1" x14ac:dyDescent="0.35">
      <c r="A7" s="20" t="str">
        <f>"4."</f>
        <v>4.</v>
      </c>
      <c r="B7" s="27" t="s">
        <v>15</v>
      </c>
      <c r="C7" s="18"/>
      <c r="D7" s="18"/>
      <c r="E7" s="18"/>
      <c r="F7" s="18"/>
      <c r="G7" s="18"/>
      <c r="H7" s="18"/>
      <c r="I7" s="18"/>
      <c r="J7" s="35" t="s">
        <v>71</v>
      </c>
      <c r="K7" s="18"/>
      <c r="L7" s="18"/>
      <c r="M7" s="33"/>
      <c r="R7" s="34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</row>
    <row r="8" spans="1:29" ht="15.75" customHeight="1" x14ac:dyDescent="0.35">
      <c r="A8" s="20" t="str">
        <f>"5."</f>
        <v>5.</v>
      </c>
      <c r="B8" s="27" t="s">
        <v>16</v>
      </c>
      <c r="C8" s="18"/>
      <c r="D8" s="18"/>
      <c r="E8" s="18"/>
      <c r="F8" s="18"/>
      <c r="G8" s="18"/>
      <c r="H8" s="18"/>
      <c r="I8" s="20"/>
      <c r="J8" s="36" t="s">
        <v>17</v>
      </c>
      <c r="K8" s="20"/>
      <c r="L8" s="18"/>
      <c r="M8" s="33"/>
      <c r="O8" s="37" t="s">
        <v>18</v>
      </c>
      <c r="R8" s="34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</row>
    <row r="9" spans="1:29" ht="15.75" customHeight="1" x14ac:dyDescent="0.35">
      <c r="A9" s="20" t="str">
        <f>"6."</f>
        <v>6.</v>
      </c>
      <c r="B9" s="27" t="s">
        <v>19</v>
      </c>
      <c r="C9" s="18"/>
      <c r="D9" s="18"/>
      <c r="E9" s="18"/>
      <c r="F9" s="18"/>
      <c r="G9" s="18"/>
      <c r="H9" s="18"/>
      <c r="I9" s="38"/>
      <c r="J9" s="28">
        <v>22</v>
      </c>
      <c r="K9" s="18"/>
      <c r="L9" s="18"/>
      <c r="M9" s="33"/>
      <c r="R9" s="34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</row>
    <row r="10" spans="1:29" ht="15.75" customHeight="1" x14ac:dyDescent="0.35">
      <c r="A10" s="20" t="str">
        <f>"7."</f>
        <v>7.</v>
      </c>
      <c r="B10" s="27" t="s">
        <v>20</v>
      </c>
      <c r="C10" s="18"/>
      <c r="D10" s="18"/>
      <c r="E10" s="18"/>
      <c r="F10" s="18"/>
      <c r="G10" s="18"/>
      <c r="H10" s="18"/>
      <c r="I10" s="20"/>
      <c r="J10" s="69">
        <v>139.9</v>
      </c>
      <c r="K10" s="18"/>
      <c r="L10" s="18"/>
      <c r="M10" s="33"/>
      <c r="R10" s="34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</row>
    <row r="11" spans="1:29" ht="15.75" customHeight="1" x14ac:dyDescent="0.35">
      <c r="A11" s="20" t="str">
        <f>"8."</f>
        <v>8.</v>
      </c>
      <c r="B11" s="27" t="s">
        <v>21</v>
      </c>
      <c r="C11" s="18"/>
      <c r="D11" s="18"/>
      <c r="E11" s="18"/>
      <c r="F11" s="18"/>
      <c r="G11" s="18"/>
      <c r="H11" s="18"/>
      <c r="I11" s="18"/>
      <c r="J11" s="69">
        <f>146.8</f>
        <v>146.80000000000001</v>
      </c>
      <c r="K11" s="18"/>
      <c r="L11" s="18"/>
      <c r="M11" s="33"/>
      <c r="R11" s="34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</row>
    <row r="12" spans="1:29" ht="15.75" customHeight="1" x14ac:dyDescent="0.35">
      <c r="A12" s="20" t="str">
        <f>"9."</f>
        <v>9.</v>
      </c>
      <c r="B12" s="27" t="s">
        <v>22</v>
      </c>
      <c r="C12" s="18"/>
      <c r="D12" s="18"/>
      <c r="E12" s="18"/>
      <c r="F12" s="18"/>
      <c r="G12" s="18"/>
      <c r="H12" s="18"/>
      <c r="I12" s="18"/>
      <c r="J12" s="32">
        <f>364</f>
        <v>364</v>
      </c>
      <c r="K12" s="18"/>
      <c r="L12" s="18"/>
      <c r="M12" s="33"/>
      <c r="R12" s="34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</row>
    <row r="13" spans="1:29" ht="15.75" customHeight="1" x14ac:dyDescent="0.35">
      <c r="A13" s="20" t="str">
        <f>"10."</f>
        <v>10.</v>
      </c>
      <c r="B13" s="27" t="s">
        <v>23</v>
      </c>
      <c r="C13" s="18"/>
      <c r="D13" s="18"/>
      <c r="E13" s="18"/>
      <c r="F13" s="18"/>
      <c r="G13" s="18"/>
      <c r="H13" s="18"/>
      <c r="I13" s="18"/>
      <c r="J13" s="35">
        <f>140.5</f>
        <v>140.5</v>
      </c>
      <c r="K13" s="18"/>
      <c r="L13" s="18"/>
      <c r="M13" s="39"/>
      <c r="N13" s="40"/>
      <c r="O13" s="40"/>
      <c r="P13" s="40"/>
      <c r="Q13" s="40"/>
      <c r="R13" s="41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</row>
    <row r="14" spans="1:29" ht="15.75" customHeight="1" x14ac:dyDescent="0.3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</row>
    <row r="15" spans="1:29" ht="15.75" customHeight="1" x14ac:dyDescent="0.3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</row>
    <row r="16" spans="1:29" ht="15.75" customHeight="1" x14ac:dyDescent="0.4">
      <c r="A16" s="38"/>
      <c r="B16" s="22" t="s">
        <v>24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</row>
    <row r="17" spans="1:29" ht="15.75" customHeight="1" x14ac:dyDescent="0.35">
      <c r="A17" s="38"/>
      <c r="B17" s="38"/>
      <c r="C17" s="24" t="s">
        <v>25</v>
      </c>
      <c r="D17" s="38"/>
      <c r="E17" s="38"/>
      <c r="F17" s="18"/>
      <c r="G17" s="18"/>
      <c r="H17" s="18"/>
      <c r="I17" s="18"/>
      <c r="J17" s="18"/>
      <c r="K17" s="18"/>
      <c r="L17" s="18"/>
      <c r="M17" s="18"/>
      <c r="N17" s="18"/>
      <c r="O17" s="20"/>
      <c r="P17" s="82"/>
      <c r="Q17" s="82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</row>
    <row r="18" spans="1:29" ht="15.75" customHeight="1" x14ac:dyDescent="0.4">
      <c r="A18" s="38"/>
      <c r="B18" s="20" t="s">
        <v>26</v>
      </c>
      <c r="C18" s="24" t="s">
        <v>27</v>
      </c>
      <c r="D18" s="38"/>
      <c r="E18" s="25" t="s">
        <v>9</v>
      </c>
      <c r="F18" s="18"/>
      <c r="G18" s="18"/>
      <c r="H18" s="18"/>
      <c r="I18" s="18"/>
      <c r="J18" s="26" t="s">
        <v>10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</row>
    <row r="19" spans="1:29" ht="15.75" customHeight="1" x14ac:dyDescent="0.45">
      <c r="A19" s="38"/>
      <c r="B19" s="27">
        <v>1</v>
      </c>
      <c r="C19" s="76">
        <v>2</v>
      </c>
      <c r="D19" s="20" t="str">
        <f>"1."</f>
        <v>1.</v>
      </c>
      <c r="E19" s="27" t="s">
        <v>12</v>
      </c>
      <c r="F19" s="18"/>
      <c r="G19" s="18"/>
      <c r="H19" s="18"/>
      <c r="I19" s="18"/>
      <c r="J19" s="28">
        <v>482</v>
      </c>
      <c r="K19" s="18"/>
      <c r="L19" s="18"/>
      <c r="M19" s="18"/>
      <c r="N19" s="27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</row>
    <row r="20" spans="1:29" ht="15.75" customHeight="1" x14ac:dyDescent="0.45">
      <c r="A20" s="38"/>
      <c r="B20" s="27">
        <v>2</v>
      </c>
      <c r="C20" s="76">
        <v>4</v>
      </c>
      <c r="D20" s="20" t="str">
        <f>"2."</f>
        <v>2.</v>
      </c>
      <c r="E20" s="27" t="s">
        <v>22</v>
      </c>
      <c r="F20" s="18"/>
      <c r="G20" s="18"/>
      <c r="H20" s="18"/>
      <c r="I20" s="18"/>
      <c r="J20" s="32">
        <v>0</v>
      </c>
      <c r="K20" s="18"/>
      <c r="L20" s="18"/>
      <c r="M20" s="18"/>
      <c r="N20" s="27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</row>
    <row r="21" spans="1:29" ht="15.75" customHeight="1" x14ac:dyDescent="0.45">
      <c r="A21" s="38"/>
      <c r="B21" s="27">
        <v>3</v>
      </c>
      <c r="C21" s="76">
        <v>4</v>
      </c>
      <c r="D21" s="20" t="str">
        <f>"3."</f>
        <v>3.</v>
      </c>
      <c r="E21" s="27" t="s">
        <v>28</v>
      </c>
      <c r="F21" s="18"/>
      <c r="G21" s="18"/>
      <c r="H21" s="18"/>
      <c r="I21" s="18"/>
      <c r="J21" s="32">
        <v>10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</row>
    <row r="22" spans="1:29" ht="15.75" customHeight="1" x14ac:dyDescent="0.45">
      <c r="A22" s="38"/>
      <c r="B22" s="27">
        <v>4</v>
      </c>
      <c r="C22" s="76">
        <v>5</v>
      </c>
      <c r="D22" s="20" t="str">
        <f>"4."</f>
        <v>4.</v>
      </c>
      <c r="E22" s="27" t="s">
        <v>29</v>
      </c>
      <c r="F22" s="18"/>
      <c r="G22" s="18"/>
      <c r="H22" s="18"/>
      <c r="I22" s="18"/>
      <c r="J22" s="32">
        <v>10</v>
      </c>
      <c r="K22" s="18"/>
      <c r="L22" s="18"/>
      <c r="M22" s="18"/>
      <c r="N22" s="18"/>
      <c r="O22" s="42"/>
      <c r="P22" s="26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</row>
    <row r="23" spans="1:29" ht="15.75" customHeight="1" x14ac:dyDescent="0.45">
      <c r="A23" s="38"/>
      <c r="B23" s="27">
        <v>5</v>
      </c>
      <c r="C23" s="76">
        <v>6</v>
      </c>
      <c r="D23" s="20" t="str">
        <f>"5."</f>
        <v>5.</v>
      </c>
      <c r="E23" s="27" t="s">
        <v>30</v>
      </c>
      <c r="F23" s="18"/>
      <c r="G23" s="18"/>
      <c r="H23" s="18"/>
      <c r="I23" s="18"/>
      <c r="J23" s="32">
        <v>205</v>
      </c>
      <c r="K23" s="18"/>
      <c r="L23" s="18"/>
      <c r="M23" s="18"/>
      <c r="N23" s="18"/>
      <c r="O23" s="42" t="s">
        <v>31</v>
      </c>
      <c r="P23" s="43" t="s">
        <v>32</v>
      </c>
      <c r="Q23" s="44">
        <v>130</v>
      </c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</row>
    <row r="24" spans="1:29" ht="15.75" customHeight="1" x14ac:dyDescent="0.45">
      <c r="A24" s="38"/>
      <c r="B24" s="27">
        <v>6</v>
      </c>
      <c r="C24" s="76">
        <v>5</v>
      </c>
      <c r="D24" s="20" t="str">
        <f>"6."</f>
        <v>6.</v>
      </c>
      <c r="E24" s="27" t="s">
        <v>33</v>
      </c>
      <c r="F24" s="18"/>
      <c r="G24" s="18"/>
      <c r="H24" s="18"/>
      <c r="I24" s="18"/>
      <c r="J24" s="32">
        <v>7</v>
      </c>
      <c r="K24" s="18"/>
      <c r="L24" s="18"/>
      <c r="M24" s="18"/>
      <c r="N24" s="18"/>
      <c r="O24" s="18"/>
      <c r="P24" s="45" t="s">
        <v>34</v>
      </c>
      <c r="Q24" s="46">
        <v>150</v>
      </c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</row>
    <row r="25" spans="1:29" ht="15.75" customHeight="1" x14ac:dyDescent="0.45">
      <c r="A25" s="38"/>
      <c r="B25" s="27">
        <v>7</v>
      </c>
      <c r="C25" s="76">
        <v>5</v>
      </c>
      <c r="D25" s="20" t="str">
        <f>"7."</f>
        <v>7.</v>
      </c>
      <c r="E25" s="27" t="s">
        <v>35</v>
      </c>
      <c r="F25" s="18"/>
      <c r="G25" s="18"/>
      <c r="H25" s="18"/>
      <c r="I25" s="18"/>
      <c r="J25" s="32">
        <v>149</v>
      </c>
      <c r="K25" s="18"/>
      <c r="L25" s="18"/>
      <c r="M25" s="18"/>
      <c r="N25" s="18"/>
      <c r="O25" s="18"/>
      <c r="P25" s="45" t="s">
        <v>36</v>
      </c>
      <c r="Q25" s="46">
        <v>155</v>
      </c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</row>
    <row r="26" spans="1:29" ht="15.75" customHeight="1" x14ac:dyDescent="0.45">
      <c r="A26" s="38"/>
      <c r="B26" s="27">
        <v>8</v>
      </c>
      <c r="C26" s="76">
        <v>6</v>
      </c>
      <c r="D26" s="20" t="str">
        <f>"8."</f>
        <v>8.</v>
      </c>
      <c r="E26" s="27" t="s">
        <v>33</v>
      </c>
      <c r="F26" s="18"/>
      <c r="G26" s="18"/>
      <c r="H26" s="18"/>
      <c r="I26" s="18"/>
      <c r="J26" s="32">
        <v>7</v>
      </c>
      <c r="K26" s="18"/>
      <c r="L26" s="18"/>
      <c r="M26" s="18"/>
      <c r="N26" s="18"/>
      <c r="O26" s="18"/>
      <c r="P26" s="45" t="s">
        <v>37</v>
      </c>
      <c r="Q26" s="46">
        <v>475</v>
      </c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</row>
    <row r="27" spans="1:29" ht="15.75" customHeight="1" x14ac:dyDescent="0.45">
      <c r="A27" s="38"/>
      <c r="B27" s="27">
        <v>9</v>
      </c>
      <c r="C27" s="76">
        <v>5</v>
      </c>
      <c r="D27" s="20" t="str">
        <f>"9."</f>
        <v>9.</v>
      </c>
      <c r="E27" s="27" t="s">
        <v>38</v>
      </c>
      <c r="F27" s="18"/>
      <c r="G27" s="18"/>
      <c r="H27" s="18"/>
      <c r="I27" s="18"/>
      <c r="J27" s="32">
        <v>6</v>
      </c>
      <c r="K27" s="18"/>
      <c r="L27" s="18"/>
      <c r="M27" s="18"/>
      <c r="N27" s="18"/>
      <c r="O27" s="18"/>
      <c r="P27" s="45" t="s">
        <v>39</v>
      </c>
      <c r="Q27" s="46">
        <v>25</v>
      </c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</row>
    <row r="28" spans="1:29" ht="15.75" customHeight="1" x14ac:dyDescent="0.45">
      <c r="A28" s="38"/>
      <c r="B28" s="27">
        <v>10</v>
      </c>
      <c r="C28" s="76">
        <v>6</v>
      </c>
      <c r="D28" s="20" t="str">
        <f>"10."</f>
        <v>10.</v>
      </c>
      <c r="E28" s="27" t="s">
        <v>40</v>
      </c>
      <c r="F28" s="18"/>
      <c r="G28" s="18"/>
      <c r="H28" s="18"/>
      <c r="I28" s="18"/>
      <c r="J28" s="35">
        <v>5</v>
      </c>
      <c r="K28" s="18"/>
      <c r="L28" s="18"/>
      <c r="M28" s="18"/>
      <c r="N28" s="18"/>
      <c r="O28" s="18"/>
      <c r="P28" s="47" t="s">
        <v>41</v>
      </c>
      <c r="Q28" s="48">
        <v>20</v>
      </c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</row>
    <row r="29" spans="1:29" ht="15.75" customHeight="1" x14ac:dyDescent="0.45">
      <c r="A29" s="38"/>
      <c r="B29" s="27">
        <v>11</v>
      </c>
      <c r="C29" s="76">
        <v>5</v>
      </c>
      <c r="D29" s="38"/>
      <c r="E29" s="38"/>
      <c r="F29" s="38"/>
      <c r="G29" s="38"/>
      <c r="H29" s="38"/>
      <c r="I29" s="38"/>
      <c r="J29" s="38"/>
      <c r="K29" s="38"/>
      <c r="L29" s="38"/>
      <c r="M29" s="18"/>
      <c r="N29" s="38"/>
      <c r="O29" s="1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</row>
    <row r="30" spans="1:29" ht="15.75" customHeight="1" x14ac:dyDescent="0.45">
      <c r="A30" s="38"/>
      <c r="B30" s="27">
        <v>12</v>
      </c>
      <c r="C30" s="76">
        <v>5</v>
      </c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</row>
    <row r="31" spans="1:29" ht="15.75" customHeight="1" x14ac:dyDescent="0.45">
      <c r="A31" s="38"/>
      <c r="B31" s="27">
        <v>13</v>
      </c>
      <c r="C31" s="76">
        <v>5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</row>
    <row r="32" spans="1:29" ht="15.75" customHeight="1" x14ac:dyDescent="0.45">
      <c r="A32" s="38"/>
      <c r="B32" s="27">
        <v>14</v>
      </c>
      <c r="C32" s="76">
        <v>6</v>
      </c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</row>
    <row r="33" spans="1:29" ht="15.75" customHeight="1" x14ac:dyDescent="0.4">
      <c r="A33" s="38"/>
      <c r="B33" s="49" t="s">
        <v>42</v>
      </c>
      <c r="C33" s="50">
        <f>SUM(C19:C32)*2</f>
        <v>138</v>
      </c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</row>
    <row r="34" spans="1:29" ht="15.75" customHeight="1" x14ac:dyDescent="0.35">
      <c r="A34" s="38"/>
      <c r="B34" s="20"/>
      <c r="C34" s="27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</row>
    <row r="35" spans="1:29" ht="15.75" customHeight="1" x14ac:dyDescent="0.4">
      <c r="A35" s="38"/>
      <c r="B35" s="22" t="s">
        <v>43</v>
      </c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</row>
    <row r="36" spans="1:29" ht="15.75" customHeight="1" x14ac:dyDescent="0.45">
      <c r="A36" s="38"/>
      <c r="B36" s="27" t="s">
        <v>44</v>
      </c>
      <c r="C36" s="27"/>
      <c r="D36" s="27"/>
      <c r="E36" s="27"/>
      <c r="F36" s="27"/>
      <c r="G36" s="27"/>
      <c r="H36" s="27"/>
      <c r="I36" s="27"/>
      <c r="J36" s="78" t="s">
        <v>104</v>
      </c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</row>
    <row r="37" spans="1:29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</row>
    <row r="38" spans="1:29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</row>
    <row r="39" spans="1:29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</row>
    <row r="40" spans="1:29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</row>
    <row r="41" spans="1:29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</row>
  </sheetData>
  <mergeCells count="1">
    <mergeCell ref="P17:Q17"/>
  </mergeCells>
  <hyperlinks>
    <hyperlink ref="J36" location="'Stochastic Cutting'!A1" display="Stochastic Cutting" xr:uid="{4625DC4A-F8E2-4245-9E26-15E650A7B7F7}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Stochastic Cutting</vt:lpstr>
      <vt:lpstr>Predictive Modelling</vt:lpstr>
      <vt:lpstr>data</vt:lpstr>
      <vt:lpstr>user</vt:lpstr>
      <vt:lpstr>lower</vt:lpstr>
      <vt:lpstr>upper</vt:lpstr>
    </vt:vector>
  </TitlesOfParts>
  <Company>Lancaster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Hindle, Adam</dc:creator>
  <cp:lastModifiedBy>Apoorva</cp:lastModifiedBy>
  <dcterms:created xsi:type="dcterms:W3CDTF">2022-11-08T17:16:22Z</dcterms:created>
  <dcterms:modified xsi:type="dcterms:W3CDTF">2023-01-20T23:53:52Z</dcterms:modified>
</cp:coreProperties>
</file>